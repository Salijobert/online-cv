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4934B4B3-D7F3-4B3A-89EE-2F019C3E5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_fact" sheetId="7" r:id="rId1"/>
    <sheet name="sales_id" sheetId="8" r:id="rId2"/>
    <sheet name="country_dim" sheetId="3" r:id="rId3"/>
    <sheet name="state_id" sheetId="4" r:id="rId4"/>
    <sheet name="model_dim" sheetId="5" r:id="rId5"/>
    <sheet name="color_dim" sheetId="10" r:id="rId6"/>
    <sheet name="Dirty_dataset" sheetId="2" r:id="rId7"/>
    <sheet name="Clean_data" sheetId="1" r:id="rId8"/>
  </sheets>
  <definedNames>
    <definedName name="_xlcn.WorksheetConnection_MALLARI_Bike_Sales_Prepare_Lab_3.4.7Cleaned.xlsxcountry_dim1" hidden="1">country_dim[]</definedName>
    <definedName name="_xlcn.WorksheetConnection_MALLARI_Bike_Sales_Prepare_Lab_3.4.7Cleaned.xlsxmodel_dim1" hidden="1">model_dim[]</definedName>
    <definedName name="_xlcn.WorksheetConnection_MALLARI_Bike_Sales_Prepare_Lab_3.4.7Cleaned.xlsxrevenue_fact1" hidden="1">revenue_fact[]</definedName>
    <definedName name="_xlcn.WorksheetConnection_MALLARI_Bike_Sales_Prepare_Lab_3.4.7Cleaned.xlsxstate_dim1" hidden="1">state_dim[]</definedName>
    <definedName name="_xlcn.WorksheetConnection_MALLARI_Bike_Sales_Prepare_Lab_3.4.7Cleaned.xlsxTable91" hidden="1">Table9[]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tate_dim" name="state_dim" connection="WorksheetConnection_MALLARI_Bike_Sales_Prepare_Lab_3.4.7Cleaned.xlsx!state_dim"/>
          <x15:modelTable id="revenue_fact" name="revenue_fact" connection="WorksheetConnection_MALLARI_Bike_Sales_Prepare_Lab_3.4.7Cleaned.xlsx!revenue_fact"/>
          <x15:modelTable id="model_dim" name="model_dim" connection="WorksheetConnection_MALLARI_Bike_Sales_Prepare_Lab_3.4.7Cleaned.xlsx!model_dim"/>
          <x15:modelTable id="country_dim" name="country_dim" connection="WorksheetConnection_MALLARI_Bike_Sales_Prepare_Lab_3.4.7Cleaned.xlsx!country_dim"/>
          <x15:modelTable id="Table9" name="color_dim" connection="WorksheetConnection_MALLARI_Bike_Sales_Prepare_Lab_3.4.7Cleaned.xlsx!Table9"/>
        </x15:modelTables>
        <x15:modelRelationships>
          <x15:modelRelationship fromTable="revenue_fact" fromColumn="state_id" toTable="state_dim" toColumn="State"/>
          <x15:modelRelationship fromTable="revenue_fact" fromColumn="model_id" toTable="model_dim" toColumn="model_id"/>
          <x15:modelRelationship fromTable="revenue_fact" fromColumn="country_id" toTable="country_dim" toColumn="country_id"/>
          <x15:modelRelationship fromTable="revenue_fact" fromColumn="color_id" toTable="color_dim" toColumn="colo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 s="1"/>
  <c r="V89" i="7" l="1"/>
  <c r="U89" i="7"/>
  <c r="V88" i="7"/>
  <c r="U88" i="7"/>
  <c r="V87" i="7"/>
  <c r="U87" i="7"/>
  <c r="V86" i="7"/>
  <c r="U86" i="7"/>
  <c r="V85" i="7"/>
  <c r="U85" i="7"/>
  <c r="V84" i="7"/>
  <c r="U84" i="7"/>
  <c r="V83" i="7"/>
  <c r="U83" i="7"/>
  <c r="V82" i="7"/>
  <c r="U82" i="7"/>
  <c r="V81" i="7"/>
  <c r="U81" i="7"/>
  <c r="V80" i="7"/>
  <c r="U80" i="7"/>
  <c r="V79" i="7"/>
  <c r="U79" i="7"/>
  <c r="V78" i="7"/>
  <c r="U78" i="7"/>
  <c r="V77" i="7"/>
  <c r="U77" i="7"/>
  <c r="V76" i="7"/>
  <c r="U76" i="7"/>
  <c r="V75" i="7"/>
  <c r="U75" i="7"/>
  <c r="V74" i="7"/>
  <c r="U74" i="7"/>
  <c r="V73" i="7"/>
  <c r="U73" i="7"/>
  <c r="V72" i="7"/>
  <c r="U72" i="7"/>
  <c r="V71" i="7"/>
  <c r="U71" i="7"/>
  <c r="V70" i="7"/>
  <c r="U70" i="7"/>
  <c r="V69" i="7"/>
  <c r="U69" i="7"/>
  <c r="V68" i="7"/>
  <c r="U68" i="7"/>
  <c r="V67" i="7"/>
  <c r="U67" i="7"/>
  <c r="V66" i="7"/>
  <c r="U66" i="7"/>
  <c r="V65" i="7"/>
  <c r="U65" i="7"/>
  <c r="V64" i="7"/>
  <c r="U64" i="7"/>
  <c r="V63" i="7"/>
  <c r="U63" i="7"/>
  <c r="V62" i="7"/>
  <c r="U62" i="7"/>
  <c r="V61" i="7"/>
  <c r="U61" i="7"/>
  <c r="V60" i="7"/>
  <c r="U60" i="7"/>
  <c r="V59" i="7"/>
  <c r="U59" i="7"/>
  <c r="V58" i="7"/>
  <c r="U58" i="7"/>
  <c r="V57" i="7"/>
  <c r="U57" i="7"/>
  <c r="V56" i="7"/>
  <c r="U56" i="7"/>
  <c r="V55" i="7"/>
  <c r="U55" i="7"/>
  <c r="V54" i="7"/>
  <c r="U54" i="7"/>
  <c r="V53" i="7"/>
  <c r="U53" i="7"/>
  <c r="V52" i="7"/>
  <c r="U52" i="7"/>
  <c r="V51" i="7"/>
  <c r="U51" i="7"/>
  <c r="V50" i="7"/>
  <c r="U50" i="7"/>
  <c r="V49" i="7"/>
  <c r="U49" i="7"/>
  <c r="V48" i="7"/>
  <c r="U48" i="7"/>
  <c r="V47" i="7"/>
  <c r="U47" i="7"/>
  <c r="V46" i="7"/>
  <c r="U46" i="7"/>
  <c r="V45" i="7"/>
  <c r="U45" i="7"/>
  <c r="V44" i="7"/>
  <c r="U44" i="7"/>
  <c r="V43" i="7"/>
  <c r="U43" i="7"/>
  <c r="V42" i="7"/>
  <c r="U42" i="7"/>
  <c r="V41" i="7"/>
  <c r="U41" i="7"/>
  <c r="V40" i="7"/>
  <c r="U40" i="7"/>
  <c r="V39" i="7"/>
  <c r="U39" i="7"/>
  <c r="V38" i="7"/>
  <c r="U38" i="7"/>
  <c r="V37" i="7"/>
  <c r="U37" i="7"/>
  <c r="V36" i="7"/>
  <c r="U36" i="7"/>
  <c r="V35" i="7"/>
  <c r="U35" i="7"/>
  <c r="V34" i="7"/>
  <c r="U34" i="7"/>
  <c r="V33" i="7"/>
  <c r="U33" i="7"/>
  <c r="V32" i="7"/>
  <c r="U32" i="7"/>
  <c r="V31" i="7"/>
  <c r="U31" i="7"/>
  <c r="V30" i="7"/>
  <c r="U30" i="7"/>
  <c r="V29" i="7"/>
  <c r="U29" i="7"/>
  <c r="V28" i="7"/>
  <c r="U28" i="7"/>
  <c r="V27" i="7"/>
  <c r="U27" i="7"/>
  <c r="V26" i="7"/>
  <c r="U26" i="7"/>
  <c r="V25" i="7"/>
  <c r="U25" i="7"/>
  <c r="V24" i="7"/>
  <c r="U24" i="7"/>
  <c r="V23" i="7"/>
  <c r="U23" i="7"/>
  <c r="V22" i="7"/>
  <c r="U22" i="7"/>
  <c r="V21" i="7"/>
  <c r="U21" i="7"/>
  <c r="V20" i="7"/>
  <c r="U20" i="7"/>
  <c r="V19" i="7"/>
  <c r="U19" i="7"/>
  <c r="V18" i="7"/>
  <c r="U18" i="7"/>
  <c r="V17" i="7"/>
  <c r="U17" i="7"/>
  <c r="V16" i="7"/>
  <c r="U16" i="7"/>
  <c r="V15" i="7"/>
  <c r="U15" i="7"/>
  <c r="V14" i="7"/>
  <c r="U14" i="7"/>
  <c r="V13" i="7"/>
  <c r="U13" i="7"/>
  <c r="V12" i="7"/>
  <c r="U12" i="7"/>
  <c r="V11" i="7"/>
  <c r="U11" i="7"/>
  <c r="V10" i="7"/>
  <c r="U10" i="7"/>
  <c r="V9" i="7"/>
  <c r="U9" i="7"/>
  <c r="V8" i="7"/>
  <c r="U8" i="7"/>
  <c r="V7" i="7"/>
  <c r="U7" i="7"/>
  <c r="V6" i="7"/>
  <c r="U6" i="7"/>
  <c r="V5" i="7"/>
  <c r="U5" i="7"/>
  <c r="V4" i="7"/>
  <c r="U4" i="7"/>
  <c r="V3" i="7"/>
  <c r="U3" i="7"/>
  <c r="V2" i="7"/>
  <c r="U2" i="7"/>
  <c r="R2" i="2"/>
  <c r="S2" i="2"/>
  <c r="R3" i="2"/>
  <c r="S3" i="2"/>
  <c r="R4" i="2"/>
  <c r="S4" i="2"/>
  <c r="R5" i="2"/>
  <c r="S5" i="2"/>
  <c r="R6" i="2"/>
  <c r="S6" i="2"/>
  <c r="R7" i="2"/>
  <c r="S7" i="2"/>
  <c r="R8" i="2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19" i="2"/>
  <c r="S19" i="2"/>
  <c r="R20" i="2"/>
  <c r="S20" i="2"/>
  <c r="R21" i="2"/>
  <c r="S21" i="2"/>
  <c r="R22" i="2"/>
  <c r="S22" i="2"/>
  <c r="R23" i="2"/>
  <c r="S23" i="2"/>
  <c r="R24" i="2"/>
  <c r="S24" i="2"/>
  <c r="R25" i="2"/>
  <c r="S25" i="2"/>
  <c r="R26" i="2"/>
  <c r="S26" i="2"/>
  <c r="R27" i="2"/>
  <c r="S27" i="2"/>
  <c r="R28" i="2"/>
  <c r="S28" i="2"/>
  <c r="R29" i="2"/>
  <c r="S29" i="2"/>
  <c r="R30" i="2"/>
  <c r="S30" i="2"/>
  <c r="R31" i="2"/>
  <c r="S31" i="2"/>
  <c r="R32" i="2"/>
  <c r="S32" i="2"/>
  <c r="R33" i="2"/>
  <c r="S33" i="2"/>
  <c r="R34" i="2"/>
  <c r="S34" i="2"/>
  <c r="R35" i="2"/>
  <c r="S35" i="2"/>
  <c r="R36" i="2"/>
  <c r="S36" i="2"/>
  <c r="R37" i="2"/>
  <c r="S37" i="2"/>
  <c r="R38" i="2"/>
  <c r="S38" i="2"/>
  <c r="R39" i="2"/>
  <c r="S39" i="2"/>
  <c r="R40" i="2"/>
  <c r="S40" i="2"/>
  <c r="R41" i="2"/>
  <c r="S41" i="2"/>
  <c r="R42" i="2"/>
  <c r="S42" i="2"/>
  <c r="R43" i="2"/>
  <c r="S43" i="2"/>
  <c r="R44" i="2"/>
  <c r="S44" i="2"/>
  <c r="R45" i="2"/>
  <c r="S45" i="2"/>
  <c r="R46" i="2"/>
  <c r="S46" i="2"/>
  <c r="R47" i="2"/>
  <c r="S47" i="2"/>
  <c r="R48" i="2"/>
  <c r="S48" i="2"/>
  <c r="R49" i="2"/>
  <c r="S49" i="2"/>
  <c r="R50" i="2"/>
  <c r="S50" i="2"/>
  <c r="R51" i="2"/>
  <c r="S51" i="2"/>
  <c r="R52" i="2"/>
  <c r="S52" i="2"/>
  <c r="R53" i="2"/>
  <c r="S53" i="2"/>
  <c r="R54" i="2"/>
  <c r="S54" i="2"/>
  <c r="R55" i="2"/>
  <c r="S55" i="2"/>
  <c r="R56" i="2"/>
  <c r="S56" i="2"/>
  <c r="R57" i="2"/>
  <c r="S57" i="2"/>
  <c r="R58" i="2"/>
  <c r="S58" i="2"/>
  <c r="R59" i="2"/>
  <c r="S59" i="2"/>
  <c r="R60" i="2"/>
  <c r="S60" i="2"/>
  <c r="R61" i="2"/>
  <c r="S61" i="2"/>
  <c r="R62" i="2"/>
  <c r="S62" i="2"/>
  <c r="R63" i="2"/>
  <c r="S63" i="2"/>
  <c r="R64" i="2"/>
  <c r="S64" i="2"/>
  <c r="R65" i="2"/>
  <c r="S65" i="2"/>
  <c r="R66" i="2"/>
  <c r="S66" i="2"/>
  <c r="R67" i="2"/>
  <c r="S67" i="2"/>
  <c r="R68" i="2"/>
  <c r="S68" i="2"/>
  <c r="R69" i="2"/>
  <c r="S69" i="2"/>
  <c r="R70" i="2"/>
  <c r="S70" i="2"/>
  <c r="R71" i="2"/>
  <c r="S71" i="2"/>
  <c r="R72" i="2"/>
  <c r="S72" i="2"/>
  <c r="R73" i="2"/>
  <c r="S73" i="2"/>
  <c r="R74" i="2"/>
  <c r="S74" i="2"/>
  <c r="R75" i="2"/>
  <c r="S75" i="2"/>
  <c r="R76" i="2"/>
  <c r="S76" i="2"/>
  <c r="R77" i="2"/>
  <c r="S77" i="2"/>
  <c r="R78" i="2"/>
  <c r="S78" i="2"/>
  <c r="R79" i="2"/>
  <c r="S79" i="2"/>
  <c r="R80" i="2"/>
  <c r="S80" i="2"/>
  <c r="R81" i="2"/>
  <c r="S81" i="2"/>
  <c r="R82" i="2"/>
  <c r="S82" i="2"/>
  <c r="R83" i="2"/>
  <c r="S83" i="2"/>
  <c r="R84" i="2"/>
  <c r="S84" i="2"/>
  <c r="R85" i="2"/>
  <c r="S85" i="2"/>
  <c r="R86" i="2"/>
  <c r="S86" i="2"/>
  <c r="R87" i="2"/>
  <c r="S87" i="2"/>
  <c r="R88" i="2"/>
  <c r="S88" i="2"/>
  <c r="R89" i="2"/>
  <c r="S89" i="2"/>
  <c r="R90" i="2"/>
  <c r="S90" i="2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79482D-D49E-43B9-AA0C-4FBCC1F2E4D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CA9912C-A8C8-4236-B683-9D039914BD6D}" name="WorksheetConnection_MALLARI_Bike_Sales_Prepare_Lab_3.4.7Cleaned.xlsx!country_dim" type="102" refreshedVersion="8" minRefreshableVersion="5">
    <extLst>
      <ext xmlns:x15="http://schemas.microsoft.com/office/spreadsheetml/2010/11/main" uri="{DE250136-89BD-433C-8126-D09CA5730AF9}">
        <x15:connection id="country_dim">
          <x15:rangePr sourceName="_xlcn.WorksheetConnection_MALLARI_Bike_Sales_Prepare_Lab_3.4.7Cleaned.xlsxcountry_dim1"/>
        </x15:connection>
      </ext>
    </extLst>
  </connection>
  <connection id="3" xr16:uid="{3CBF043E-7833-4065-9BAB-DBC0E7B6BE25}" name="WorksheetConnection_MALLARI_Bike_Sales_Prepare_Lab_3.4.7Cleaned.xlsx!model_dim" type="102" refreshedVersion="8" minRefreshableVersion="5">
    <extLst>
      <ext xmlns:x15="http://schemas.microsoft.com/office/spreadsheetml/2010/11/main" uri="{DE250136-89BD-433C-8126-D09CA5730AF9}">
        <x15:connection id="model_dim">
          <x15:rangePr sourceName="_xlcn.WorksheetConnection_MALLARI_Bike_Sales_Prepare_Lab_3.4.7Cleaned.xlsxmodel_dim1"/>
        </x15:connection>
      </ext>
    </extLst>
  </connection>
  <connection id="4" xr16:uid="{F9550B34-6F26-4AE1-AA56-248D541B92F9}" name="WorksheetConnection_MALLARI_Bike_Sales_Prepare_Lab_3.4.7Cleaned.xlsx!revenue_fact" type="102" refreshedVersion="8" minRefreshableVersion="5">
    <extLst>
      <ext xmlns:x15="http://schemas.microsoft.com/office/spreadsheetml/2010/11/main" uri="{DE250136-89BD-433C-8126-D09CA5730AF9}">
        <x15:connection id="revenue_fact">
          <x15:rangePr sourceName="_xlcn.WorksheetConnection_MALLARI_Bike_Sales_Prepare_Lab_3.4.7Cleaned.xlsxrevenue_fact1"/>
        </x15:connection>
      </ext>
    </extLst>
  </connection>
  <connection id="5" xr16:uid="{D07EDD99-0909-4B09-90D4-0139F5C9E80A}" name="WorksheetConnection_MALLARI_Bike_Sales_Prepare_Lab_3.4.7Cleaned.xlsx!state_dim" type="102" refreshedVersion="8" minRefreshableVersion="5">
    <extLst>
      <ext xmlns:x15="http://schemas.microsoft.com/office/spreadsheetml/2010/11/main" uri="{DE250136-89BD-433C-8126-D09CA5730AF9}">
        <x15:connection id="state_dim">
          <x15:rangePr sourceName="_xlcn.WorksheetConnection_MALLARI_Bike_Sales_Prepare_Lab_3.4.7Cleaned.xlsxstate_dim1"/>
        </x15:connection>
      </ext>
    </extLst>
  </connection>
  <connection id="6" xr16:uid="{D657BD77-7E78-4449-8ED6-7B01D7B03423}" name="WorksheetConnection_MALLARI_Bike_Sales_Prepare_Lab_3.4.7Cleaned.xlsx!Table9" type="102" refreshedVersion="8" minRefreshableVersion="5">
    <extLst>
      <ext xmlns:x15="http://schemas.microsoft.com/office/spreadsheetml/2010/11/main" uri="{DE250136-89BD-433C-8126-D09CA5730AF9}">
        <x15:connection id="Table9">
          <x15:rangePr sourceName="_xlcn.WorksheetConnection_MALLARI_Bike_Sales_Prepare_Lab_3.4.7Cleaned.xlsxTable9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<sst xmlns="http://schemas.openxmlformats.org/spreadsheetml/2006/main" count="3222" uniqueCount="304">
  <si>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</si>
  <si>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</si>
  <si>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</si>
  <si>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</si>
  <si>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</si>
  <si>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</si>
  <si>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</si>
  <si>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</si>
  <si>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</si>
  <si>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</si>
  <si>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</si>
  <si>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</si>
  <si>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</si>
  <si>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</si>
  <si>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</si>
  <si>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</si>
  <si>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</si>
  <si>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</si>
  <si>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</si>
  <si>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</si>
  <si>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</si>
  <si>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California</t>
  </si>
  <si>
    <t>Bikes</t>
  </si>
  <si>
    <t>Mountain Bikes</t>
  </si>
  <si>
    <t>England</t>
  </si>
  <si>
    <t>000261697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</si>
  <si>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</si>
  <si>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</si>
  <si>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</si>
  <si>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</si>
  <si>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</si>
  <si>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</si>
  <si>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</si>
  <si>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</si>
  <si>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</si>
  <si>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</si>
  <si>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</si>
  <si>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</si>
  <si>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</si>
  <si>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</si>
  <si>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</si>
  <si>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</si>
  <si>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</si>
  <si>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</si>
  <si>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</si>
  <si>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</si>
  <si>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</si>
  <si>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</si>
  <si>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</si>
  <si>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</si>
  <si>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</si>
  <si>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</si>
  <si>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</si>
  <si>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</si>
  <si>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</si>
  <si>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</si>
  <si>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</si>
  <si>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</si>
  <si>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</si>
  <si>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</si>
  <si>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</si>
  <si>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</si>
  <si>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</si>
  <si>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</si>
  <si>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</si>
  <si>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</si>
  <si>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</si>
  <si>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</si>
  <si>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</si>
  <si>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</si>
  <si>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</si>
  <si>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</si>
  <si>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</si>
  <si>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</si>
  <si>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</si>
  <si>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</si>
  <si>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</si>
  <si>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</si>
  <si>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</si>
  <si>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</si>
  <si>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</si>
  <si>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</si>
  <si>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</si>
  <si>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</si>
  <si>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</si>
  <si>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</si>
  <si>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</si>
  <si>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</si>
  <si>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</si>
  <si>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</si>
  <si>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</si>
  <si>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</si>
  <si>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</si>
  <si>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</si>
  <si>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</si>
  <si>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</si>
  <si>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</si>
  <si>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</si>
  <si>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</si>
  <si>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</si>
  <si>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</si>
  <si>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</si>
  <si>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</si>
  <si>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</si>
  <si>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</si>
  <si>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</si>
  <si>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</si>
  <si>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</si>
  <si>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</si>
  <si>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</si>
  <si>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</si>
  <si>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</si>
  <si>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</si>
  <si>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</si>
  <si>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</si>
  <si>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</si>
  <si>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</si>
  <si>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</si>
  <si>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</si>
  <si>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</si>
  <si>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</si>
  <si>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</si>
  <si>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</si>
  <si>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</si>
  <si>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</si>
  <si>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</si>
  <si>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</si>
  <si>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</si>
  <si>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</si>
  <si>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</si>
  <si>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</si>
  <si>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Color</t>
  </si>
  <si>
    <t>Mountain-200</t>
  </si>
  <si>
    <t>Black</t>
  </si>
  <si>
    <t>Silver</t>
  </si>
  <si>
    <t>Mountain-400-W</t>
  </si>
  <si>
    <t>Mountain-500</t>
  </si>
  <si>
    <t>Mountain-100</t>
  </si>
  <si>
    <t>Model</t>
  </si>
  <si>
    <t>united states</t>
  </si>
  <si>
    <t>united kingdom</t>
  </si>
  <si>
    <t>australia</t>
  </si>
  <si>
    <t>germany</t>
  </si>
  <si>
    <t>canada</t>
  </si>
  <si>
    <t>Female</t>
  </si>
  <si>
    <t>Male</t>
  </si>
  <si>
    <t>Decembers</t>
  </si>
  <si>
    <t>Product_Description</t>
  </si>
  <si>
    <t>F</t>
  </si>
  <si>
    <t>United States</t>
  </si>
  <si>
    <t>Mountain-200 Black, 46</t>
  </si>
  <si>
    <t>M</t>
  </si>
  <si>
    <t>United Kingdom</t>
  </si>
  <si>
    <t>Mountain-200 Silver, 42</t>
  </si>
  <si>
    <t xml:space="preserve"> United States</t>
  </si>
  <si>
    <t>Mountain-400-W Silver, 46</t>
  </si>
  <si>
    <t>Australia</t>
  </si>
  <si>
    <t>Mountain-400-W Silver, 42</t>
  </si>
  <si>
    <t>United  States</t>
  </si>
  <si>
    <t>Mountain-200 Black, 38</t>
  </si>
  <si>
    <t xml:space="preserve">United States </t>
  </si>
  <si>
    <t>Germany</t>
  </si>
  <si>
    <t>Mountain-200 Silver, 38</t>
  </si>
  <si>
    <t>Canada</t>
  </si>
  <si>
    <t>Mountain-200 Black, 42</t>
  </si>
  <si>
    <t>Decmber</t>
  </si>
  <si>
    <t>Mountain-400-W Silver, 38</t>
  </si>
  <si>
    <t>Mountain-500 Silver, 42</t>
  </si>
  <si>
    <t>Mountain-500 Black, 42</t>
  </si>
  <si>
    <t>Mountain-100 Black, 38</t>
  </si>
  <si>
    <t>Mountain-500 Black, 40</t>
  </si>
  <si>
    <t>Mountain-100 Silver, 44</t>
  </si>
  <si>
    <t>Mountain-500 Silver, 40</t>
  </si>
  <si>
    <t>Mountain-200 Silver, 46</t>
  </si>
  <si>
    <t>Mountain-500 Black, 44</t>
  </si>
  <si>
    <t>Mountain-100 Black, 48</t>
  </si>
  <si>
    <t>Mountain-500 Black, 52</t>
  </si>
  <si>
    <t>country_id</t>
  </si>
  <si>
    <t>state_id</t>
  </si>
  <si>
    <t>model_id</t>
  </si>
  <si>
    <t>color_id</t>
  </si>
  <si>
    <t>C-101</t>
  </si>
  <si>
    <t>C-102</t>
  </si>
  <si>
    <t>C-103</t>
  </si>
  <si>
    <t>C-104</t>
  </si>
  <si>
    <t>C-105</t>
  </si>
  <si>
    <t>C-106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</si>
  <si>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</si>
  <si>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</si>
  <si>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</si>
  <si>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</si>
  <si>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</si>
  <si>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</si>
  <si>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</si>
  <si>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</si>
  <si>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</si>
  <si>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</si>
  <si>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</si>
  <si>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</si>
  <si>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</si>
  <si>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</si>
  <si>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</si>
  <si>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</si>
  <si>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</si>
  <si>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M-101</t>
  </si>
  <si>
    <t>M-102</t>
  </si>
  <si>
    <t>M-103</t>
  </si>
  <si>
    <t>M-104</t>
  </si>
  <si>
    <t>Col-101</t>
  </si>
  <si>
    <t>Col-102</t>
  </si>
  <si>
    <t>sales_id</t>
  </si>
  <si>
    <t>Sale-101</t>
  </si>
  <si>
    <t>Sale-102</t>
  </si>
  <si>
    <t>Sale-103</t>
  </si>
  <si>
    <t>Sale-104</t>
  </si>
  <si>
    <t>Sale-105</t>
  </si>
  <si>
    <t>Sale-106</t>
  </si>
  <si>
    <t>Sale-107</t>
  </si>
  <si>
    <t>Sale-108</t>
  </si>
  <si>
    <t>Sale-109</t>
  </si>
  <si>
    <t>Sale-110</t>
  </si>
  <si>
    <t>Sale-111</t>
  </si>
  <si>
    <t>Sale-112</t>
  </si>
  <si>
    <t>Sale-113</t>
  </si>
  <si>
    <t>Sale-114</t>
  </si>
  <si>
    <t>Sale-115</t>
  </si>
  <si>
    <t>Sale-116</t>
  </si>
  <si>
    <t>Sale-117</t>
  </si>
  <si>
    <t>Sale-118</t>
  </si>
  <si>
    <t>Sale-119</t>
  </si>
  <si>
    <t>Sale-120</t>
  </si>
  <si>
    <t>Sale-121</t>
  </si>
  <si>
    <t>Sale-122</t>
  </si>
  <si>
    <t>Sale-123</t>
  </si>
  <si>
    <t>Sale-124</t>
  </si>
  <si>
    <t>Sale-125</t>
  </si>
  <si>
    <t>Sale-126</t>
  </si>
  <si>
    <t>Sale-127</t>
  </si>
  <si>
    <t>Sale-128</t>
  </si>
  <si>
    <t>Sale-129</t>
  </si>
  <si>
    <t>Sale-130</t>
  </si>
  <si>
    <t>Sale-131</t>
  </si>
  <si>
    <t>Sale-132</t>
  </si>
  <si>
    <t>Sale-133</t>
  </si>
  <si>
    <t>Sale-134</t>
  </si>
  <si>
    <t>Sale-135</t>
  </si>
  <si>
    <t>Sale-136</t>
  </si>
  <si>
    <t>Sale-137</t>
  </si>
  <si>
    <t>Sale-138</t>
  </si>
  <si>
    <t>Sale-139</t>
  </si>
  <si>
    <t>Sale-140</t>
  </si>
  <si>
    <t>Sale-141</t>
  </si>
  <si>
    <t>Sale-142</t>
  </si>
  <si>
    <t>Sale-143</t>
  </si>
  <si>
    <t>Sale-144</t>
  </si>
  <si>
    <t>Sale-145</t>
  </si>
  <si>
    <t>Sale-146</t>
  </si>
  <si>
    <t>Sale-147</t>
  </si>
  <si>
    <t>Sale-148</t>
  </si>
  <si>
    <t>Sale-149</t>
  </si>
  <si>
    <t>Sale-150</t>
  </si>
  <si>
    <t>Sale-151</t>
  </si>
  <si>
    <t>Sale-152</t>
  </si>
  <si>
    <t>Sale-153</t>
  </si>
  <si>
    <t>Sale-154</t>
  </si>
  <si>
    <t>Sale-155</t>
  </si>
  <si>
    <t>Sale-156</t>
  </si>
  <si>
    <t>Sale-157</t>
  </si>
  <si>
    <t>Sale-158</t>
  </si>
  <si>
    <t>Sale-159</t>
  </si>
  <si>
    <t>Sale-160</t>
  </si>
  <si>
    <t>Sale-161</t>
  </si>
  <si>
    <t>Sale-162</t>
  </si>
  <si>
    <t>Sale-163</t>
  </si>
  <si>
    <t>Sale-164</t>
  </si>
  <si>
    <t>Sale-165</t>
  </si>
  <si>
    <t>Sale-166</t>
  </si>
  <si>
    <t>Sale-167</t>
  </si>
  <si>
    <t>Sale-168</t>
  </si>
  <si>
    <t>Sale-169</t>
  </si>
  <si>
    <t>Sale-170</t>
  </si>
  <si>
    <t>Sale-171</t>
  </si>
  <si>
    <t>Sale-172</t>
  </si>
  <si>
    <t>Sale-173</t>
  </si>
  <si>
    <t>Sale-174</t>
  </si>
  <si>
    <t>Sale-175</t>
  </si>
  <si>
    <t>Sale-176</t>
  </si>
  <si>
    <t>Sale-177</t>
  </si>
  <si>
    <t>Sale-178</t>
  </si>
  <si>
    <t>Sale-179</t>
  </si>
  <si>
    <t>Sale-180</t>
  </si>
  <si>
    <t>Sale-181</t>
  </si>
  <si>
    <t>Sale-182</t>
  </si>
  <si>
    <t>Sale-183</t>
  </si>
  <si>
    <t>Sale-184</t>
  </si>
  <si>
    <t>Sale-185</t>
  </si>
  <si>
    <t>Sale-186</t>
  </si>
  <si>
    <t>Sale-187</t>
  </si>
  <si>
    <t>Sale-188</t>
  </si>
  <si>
    <t>color</t>
  </si>
  <si>
    <t>black</t>
  </si>
  <si>
    <t>silver</t>
  </si>
  <si>
    <t>col_101</t>
  </si>
  <si>
    <t>col_102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</si>
</sst>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21" fillId="0" borderId="0" xfId="0" applyFont="1"/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/>
    <xf numFmtId="0" fontId="16" fillId="34" borderId="0" xfId="0" applyFont="1" applyFill="1" applyAlignment="1">
      <alignment horizontal="center" vertical="center" wrapText="1"/>
    </xf>
    <xf numFmtId="0" fontId="0" fillId="34" borderId="0" xfId="0" applyFill="1"/>
    <xf numFmtId="0" fontId="16" fillId="35" borderId="0" xfId="0" applyFont="1" applyFill="1" applyAlignment="1">
      <alignment horizontal="center" vertical="center" wrapText="1"/>
    </xf>
    <xf numFmtId="0" fontId="0" fillId="35" borderId="0" xfId="0" applyFill="1"/>
    <xf numFmtId="0" fontId="20" fillId="34" borderId="0" xfId="0" applyFont="1" applyFill="1" applyAlignment="1">
      <alignment horizontal="center" vertical="center" wrapText="1"/>
    </xf>
    <xf numFmtId="0" fontId="19" fillId="34" borderId="0" xfId="0" applyFont="1" applyFill="1"/>
    <xf numFmtId="0" fontId="19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0" borderId="0" xfId="0" applyAlignment="1">
      <alignment horizontal="center"/>
    </xf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21" fillId="33" borderId="0" xfId="0" applyFont="1" applyFill="1"/>
    <xf numFmtId="0" fontId="21" fillId="35" borderId="0" xfId="0" applyFont="1" applyFill="1"/>
    <xf numFmtId="0" fontId="21" fillId="34" borderId="0" xfId="0" applyFont="1" applyFill="1"/>
    <xf numFmtId="0" fontId="22" fillId="34" borderId="0" xfId="0" applyFont="1" applyFill="1"/>
    <xf numFmtId="8" fontId="21" fillId="0" borderId="0" xfId="0" applyNumberFormat="1" applyFont="1"/>
    <xf numFmtId="0" fontId="6" fillId="2" borderId="0" xfId="6" applyAlignment="1">
      <alignment horizontal="center" vertical="center" wrapText="1"/>
    </xf>
    <xf numFmtId="0" fontId="6" fillId="2" borderId="0" xfId="6"/>
    <xf numFmtId="0" fontId="1" fillId="11" borderId="0" xfId="20" applyAlignment="1">
      <alignment horizontal="center" vertical="center" wrapText="1"/>
    </xf>
    <xf numFmtId="0" fontId="1" fillId="11" borderId="0" xfId="20"/>
    <xf numFmtId="0" fontId="1" fillId="16" borderId="0" xfId="25" applyAlignment="1">
      <alignment horizontal="center" vertical="center" wrapText="1"/>
    </xf>
    <xf numFmtId="0" fontId="1" fillId="16" borderId="0" xfId="25"/>
    <xf numFmtId="0" fontId="17" fillId="13" borderId="0" xfId="22" applyAlignment="1">
      <alignment horizontal="center" vertical="center" wrapText="1"/>
    </xf>
    <xf numFmtId="0" fontId="17" fillId="13" borderId="0" xfId="22"/>
    <xf numFmtId="0" fontId="0" fillId="0" borderId="0" xfId="0" applyAlignment="1">
      <alignment horizontal="left"/>
    </xf>
    <xf numFmtId="0" fontId="8" fillId="4" borderId="0" xfId="8" applyAlignment="1">
      <alignment horizontal="center" vertical="center" wrapText="1"/>
    </xf>
    <xf numFmtId="0" fontId="8" fillId="4" borderId="0" xfId="8"/>
    <xf numFmtId="0" fontId="9" fillId="5" borderId="4" xfId="9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8" tint="0.79998168889431442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3</xdr:col>
      <xdr:colOff>434996</xdr:colOff>
      <xdr:row>3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ECE9DC6B-0F4D-B395-6AFA-B5575857C616}"/>
            </a:ext>
          </a:extLst>
        </xdr:cNvPr>
        <xdr:cNvSpPr txBox="1"/>
      </xdr:nvSpPr>
      <xdr:spPr>
        <a:xfrm>
          <a:off x="127000" y="127000"/>
          <a:ext cx="2641621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3D Maps Tours
</a:t>
          </a:r>
          <a:r>
            <a:rPr lang="en-US" sz="1100"/>
            <a:t>This workbook has 3D Maps tours available.
Open 3D Maps to edit or play the tours.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4F4B8-DBE0-4123-BC75-9C79EDEF0690}" name="revenue_fact" displayName="revenue_fact" ref="B1:V89" totalsRowShown="0" headerRowDxfId="18" headerRowCellStyle="Neutral" dataCellStyle="Normal">
  <autoFilter ref="B1:V89" xr:uid="{0354F4B8-DBE0-4123-BC75-9C79EDEF0690}"/>
  <tableColumns count="21">
    <tableColumn id="1" xr3:uid="{966238A6-E1BD-468A-AAEE-7DEEBAF5E576}" name="Sales_Order #" dataCellStyle="Normal"/>
    <tableColumn id="2" xr3:uid="{7FA27235-D7D7-413E-AFEC-895F51950CB0}" name="Date" dataCellStyle="Normal"/>
    <tableColumn id="3" xr3:uid="{276E8013-8B53-41B4-95DB-4EACD34A7814}" name="Day" dataCellStyle="Normal"/>
    <tableColumn id="4" xr3:uid="{809AD27E-9F92-4910-87F8-303B6657CF2C}" name="Month" dataCellStyle="Normal"/>
    <tableColumn id="5" xr3:uid="{CACFA075-EEDD-4018-BBB1-B01E03403237}" name="Year" dataCellStyle="Normal"/>
    <tableColumn id="6" xr3:uid="{211DDD7A-0F9E-4FD2-BA4C-E2A336A67AE1}" name="Customer_Age" dataCellStyle="Normal"/>
    <tableColumn id="7" xr3:uid="{86FE975C-E16E-4E74-8657-8D825EDB0916}" name="Age_Group" dataCellStyle="Normal"/>
    <tableColumn id="8" xr3:uid="{66B65DE4-776A-462B-AECF-1E55E99B1214}" name="Customer_Gender" dataCellStyle="Normal"/>
    <tableColumn id="9" xr3:uid="{19F45C6C-2651-49B3-B92E-EA161046875B}" name="country_id" dataCellStyle="Normal"/>
    <tableColumn id="10" xr3:uid="{CE0522F5-A226-4AB3-B4FE-7BA6119704ED}" name="state_id" dataCellStyle="Normal"/>
    <tableColumn id="11" xr3:uid="{691D9670-0A08-4B0F-9281-ED7CFF3F334A}" name="Product_Category" dataCellStyle="Normal"/>
    <tableColumn id="12" xr3:uid="{C99F5519-87AA-4BE1-834A-23034F96E7ED}" name="Sub_Category" dataCellStyle="Normal"/>
    <tableColumn id="13" xr3:uid="{5C9C45A3-A762-494E-B04B-18BEDEE70E3A}" name="model_id" dataCellStyle="Normal"/>
    <tableColumn id="14" xr3:uid="{66F6FC43-F380-4839-9B9A-3C7D723849E6}" name="color_id" dataCellStyle="Normal"/>
    <tableColumn id="15" xr3:uid="{815A783A-8654-4B40-9DF3-F5F9669FAEEF}" name="Size" dataCellStyle="Normal"/>
    <tableColumn id="16" xr3:uid="{93304712-1091-49A1-B8C3-FF7389868D85}" name="Order_Quantity" dataCellStyle="Normal"/>
    <tableColumn id="17" xr3:uid="{254994D2-63BB-4F62-A5C8-707721D5EB4A}" name=" Unit_Cost " dataCellStyle="Normal"/>
    <tableColumn id="18" xr3:uid="{34E49754-5459-481B-AD72-8C86C88079B4}" name=" Unit_Price " dataCellStyle="Normal"/>
    <tableColumn id="19" xr3:uid="{72E79612-246D-4073-9014-3910E3C45C98}" name=" Profit " dataCellStyle="Normal"/>
    <tableColumn id="20" xr3:uid="{453E8D82-D487-4843-A026-B7EAA59C8799}" name=" Cost " dataCellStyle="Normal">
      <calculatedColumnFormula>Q2*R2</calculatedColumnFormula>
    </tableColumn>
    <tableColumn id="21" xr3:uid="{6F9C16C9-D74D-4168-9EEA-71D6C420DEDF}" name="Revenue" dataCellStyle="Normal">
      <calculatedColumnFormula>Q2*S2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325040-AC7C-4D26-A1EF-424D8AF2C728}" name="country_dim" displayName="country_dim" ref="A1:B7" totalsRowShown="0" headerRowCellStyle="Normal" dataCellStyle="Normal">
  <autoFilter ref="A1:B7" xr:uid="{08325040-AC7C-4D26-A1EF-424D8AF2C728}"/>
  <tableColumns count="2">
    <tableColumn id="1" xr3:uid="{A125996D-5AFD-436E-B727-47DC4D14E30D}" name="Country" dataCellStyle="Normal"/>
    <tableColumn id="2" xr3:uid="{FFA91519-92B6-4092-B012-2D6EA2C1B5CA}" name="country_id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7BB490-6B29-4D76-84AD-59C3EF2D4507}" name="state_dim" displayName="state_dim" ref="A1:B18" totalsRowShown="0">
  <autoFilter ref="A1:B18" xr:uid="{377BB490-6B29-4D76-84AD-59C3EF2D4507}"/>
  <tableColumns count="2">
    <tableColumn id="1" xr3:uid="{A93417CF-0E44-4470-A3FE-7D81F3346EE3}" name="State" dataDxfId="17"/>
    <tableColumn id="2" xr3:uid="{9C3FE3B8-EB85-48FB-AFAD-B1B4044B4170}" name="stat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A974C0-9BCB-46AB-BD1F-83D4252738F6}" name="model_dim" displayName="model_dim" ref="A1:B5" totalsRowShown="0">
  <autoFilter ref="A1:B5" xr:uid="{44A974C0-9BCB-46AB-BD1F-83D4252738F6}"/>
  <tableColumns count="2">
    <tableColumn id="1" xr3:uid="{9178FA1B-8E18-4BFF-B599-6DF4BCD91530}" name="Model" dataCellStyle="Normal"/>
    <tableColumn id="2" xr3:uid="{F954AD5A-F825-48C3-A2AB-FE226BA526C7}" name="model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5BA9E9-15C8-49C1-9748-FB23BD4DF4D6}" name="Table9" displayName="Table9" ref="A1:B3" totalsRowShown="0">
  <autoFilter ref="A1:B3" xr:uid="{445BA9E9-15C8-49C1-9748-FB23BD4DF4D6}"/>
  <tableColumns count="2">
    <tableColumn id="1" xr3:uid="{3CAE5E30-DB3E-4935-BAF3-D2868EEC515F}" name="color_id"/>
    <tableColumn id="2" xr3:uid="{699C6CF0-B3FF-45AA-A640-D4F0E8D8E95D}" name="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0A61-21F7-43FE-81E8-4B676FC40985}">
  <dimension ref="A1:V90"/>
  <sheetViews>
    <sheetView tabSelected="1" workbookViewId="0">
      <selection activeCell="D20" sqref="D20"/>
    </sheetView>
  </sheetViews>
  <sheetFormatPr defaultRowHeight="15" x14ac:dyDescent="0.25"/>
  <cols>
    <col min="1" max="1" width="9.140625" style="27"/>
    <col min="2" max="2" width="15.28515625" customWidth="1"/>
    <col min="3" max="3" width="10.7109375" bestFit="1" customWidth="1"/>
    <col min="5" max="5" width="10.140625" bestFit="1" customWidth="1"/>
    <col min="7" max="7" width="16.140625" customWidth="1"/>
    <col min="8" max="8" width="16.85546875" customWidth="1"/>
    <col min="9" max="9" width="19.42578125" customWidth="1"/>
    <col min="10" max="10" width="12.5703125" style="27" customWidth="1"/>
    <col min="11" max="12" width="14" style="29" customWidth="1"/>
    <col min="13" max="13" width="18.85546875" style="9" customWidth="1"/>
    <col min="14" max="14" width="16.5703125" style="9" customWidth="1"/>
    <col min="15" max="15" width="16.5703125" style="31" customWidth="1"/>
    <col min="16" max="16" width="10.28515625" style="33" customWidth="1"/>
    <col min="17" max="17" width="6.7109375" style="16" customWidth="1"/>
    <col min="18" max="18" width="17" customWidth="1"/>
    <col min="19" max="19" width="12.7109375" customWidth="1"/>
    <col min="20" max="20" width="13.28515625" customWidth="1"/>
    <col min="21" max="22" width="9.85546875" bestFit="1" customWidth="1"/>
    <col min="23" max="23" width="11" customWidth="1"/>
  </cols>
  <sheetData>
    <row r="1" spans="1:22" s="5" customFormat="1" ht="45" x14ac:dyDescent="0.25">
      <c r="A1" s="36" t="s">
        <v>210</v>
      </c>
      <c r="B1" s="37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6" t="s">
        <v>6</v>
      </c>
      <c r="I1" s="35" t="s">
        <v>7</v>
      </c>
      <c r="J1" s="35" t="s">
        <v>177</v>
      </c>
      <c r="K1" s="35" t="s">
        <v>178</v>
      </c>
      <c r="L1" s="35" t="s">
        <v>10</v>
      </c>
      <c r="M1" s="35" t="s">
        <v>11</v>
      </c>
      <c r="N1" s="35" t="s">
        <v>179</v>
      </c>
      <c r="O1" s="35" t="s">
        <v>180</v>
      </c>
      <c r="P1" s="35" t="s">
        <v>130</v>
      </c>
      <c r="Q1" s="35" t="s">
        <v>12</v>
      </c>
      <c r="R1" s="35" t="s">
        <v>13</v>
      </c>
      <c r="S1" s="35" t="s">
        <v>14</v>
      </c>
      <c r="T1" s="35" t="s">
        <v>15</v>
      </c>
      <c r="U1" s="35" t="s">
        <v>16</v>
      </c>
      <c r="V1" s="35" t="s">
        <v>17</v>
      </c>
    </row>
    <row r="2" spans="1:22" x14ac:dyDescent="0.25">
      <c r="A2" t="str" cm="1">
        <f t="array" ref="A2:A89">VLOOKUP(B2:B89,sales_id!A2:B89,2,TRUE)</f>
        <v>Sale-101</v>
      </c>
      <c r="B2" t="s">
        <v>18</v>
      </c>
      <c r="C2">
        <v>44531</v>
      </c>
      <c r="D2">
        <v>1</v>
      </c>
      <c r="E2" t="s">
        <v>19</v>
      </c>
      <c r="F2">
        <v>2021</v>
      </c>
      <c r="G2">
        <v>39</v>
      </c>
      <c r="H2" t="s">
        <v>20</v>
      </c>
      <c r="I2" t="s">
        <v>144</v>
      </c>
      <c r="J2" t="s">
        <v>186</v>
      </c>
      <c r="K2" t="s">
        <v>188</v>
      </c>
      <c r="L2" t="s">
        <v>22</v>
      </c>
      <c r="M2" t="s">
        <v>23</v>
      </c>
      <c r="N2" t="s">
        <v>205</v>
      </c>
      <c r="O2" t="s">
        <v>208</v>
      </c>
      <c r="P2">
        <v>46</v>
      </c>
      <c r="Q2">
        <v>4</v>
      </c>
      <c r="R2">
        <v>1252</v>
      </c>
      <c r="S2">
        <v>2295</v>
      </c>
      <c r="T2">
        <v>4172</v>
      </c>
      <c r="U2">
        <f t="shared" ref="U2:U65" si="0">Q2*R2</f>
        <v>5008</v>
      </c>
      <c r="V2">
        <f t="shared" ref="V2:V65" si="1">Q2*S2</f>
        <v>9180</v>
      </c>
    </row>
    <row r="3" spans="1:22" x14ac:dyDescent="0.25">
      <c r="A3" t="str">
        <v>Sale-102</v>
      </c>
      <c r="B3" t="s">
        <v>129</v>
      </c>
      <c r="C3">
        <v>44531</v>
      </c>
      <c r="D3">
        <v>1</v>
      </c>
      <c r="E3" t="s">
        <v>19</v>
      </c>
      <c r="F3">
        <v>2021</v>
      </c>
      <c r="G3">
        <v>44</v>
      </c>
      <c r="H3" t="s">
        <v>20</v>
      </c>
      <c r="I3" t="s">
        <v>145</v>
      </c>
      <c r="J3" t="s">
        <v>185</v>
      </c>
      <c r="K3" t="s">
        <v>189</v>
      </c>
      <c r="L3" t="s">
        <v>22</v>
      </c>
      <c r="M3" t="s">
        <v>23</v>
      </c>
      <c r="N3" t="s">
        <v>205</v>
      </c>
      <c r="O3" t="s">
        <v>209</v>
      </c>
      <c r="P3">
        <v>42</v>
      </c>
      <c r="Q3">
        <v>1</v>
      </c>
      <c r="R3">
        <v>1266</v>
      </c>
      <c r="S3">
        <v>2320</v>
      </c>
      <c r="T3">
        <v>1054</v>
      </c>
      <c r="U3">
        <f t="shared" si="0"/>
        <v>1266</v>
      </c>
      <c r="V3">
        <f t="shared" si="1"/>
        <v>2320</v>
      </c>
    </row>
    <row r="4" spans="1:22" x14ac:dyDescent="0.25">
      <c r="A4" t="str">
        <v>Sale-103</v>
      </c>
      <c r="B4" t="s">
        <v>25</v>
      </c>
      <c r="C4">
        <v>44532</v>
      </c>
      <c r="D4">
        <v>2</v>
      </c>
      <c r="E4" t="s">
        <v>19</v>
      </c>
      <c r="F4">
        <v>2021</v>
      </c>
      <c r="G4">
        <v>37</v>
      </c>
      <c r="H4" t="s">
        <v>20</v>
      </c>
      <c r="I4" t="s">
        <v>145</v>
      </c>
      <c r="J4" t="s">
        <v>186</v>
      </c>
      <c r="K4" t="s">
        <v>188</v>
      </c>
      <c r="L4" t="s">
        <v>22</v>
      </c>
      <c r="M4" t="s">
        <v>23</v>
      </c>
      <c r="N4" t="s">
        <v>206</v>
      </c>
      <c r="O4" t="s">
        <v>209</v>
      </c>
      <c r="P4">
        <v>46</v>
      </c>
      <c r="Q4">
        <v>2</v>
      </c>
      <c r="R4">
        <v>420</v>
      </c>
      <c r="S4">
        <v>769</v>
      </c>
      <c r="T4">
        <v>698</v>
      </c>
      <c r="U4">
        <f t="shared" si="0"/>
        <v>840</v>
      </c>
      <c r="V4">
        <f t="shared" si="1"/>
        <v>1538</v>
      </c>
    </row>
    <row r="5" spans="1:22" x14ac:dyDescent="0.25">
      <c r="A5" t="str">
        <v>Sale-104</v>
      </c>
      <c r="B5" t="s">
        <v>26</v>
      </c>
      <c r="C5">
        <v>44532</v>
      </c>
      <c r="D5">
        <v>2</v>
      </c>
      <c r="E5" t="s">
        <v>19</v>
      </c>
      <c r="F5">
        <v>2021</v>
      </c>
      <c r="G5">
        <v>31</v>
      </c>
      <c r="H5" t="s">
        <v>27</v>
      </c>
      <c r="I5" t="s">
        <v>144</v>
      </c>
      <c r="J5" t="s">
        <v>181</v>
      </c>
      <c r="K5" t="s">
        <v>192</v>
      </c>
      <c r="L5" t="s">
        <v>22</v>
      </c>
      <c r="M5" t="s">
        <v>23</v>
      </c>
      <c r="N5" t="s">
        <v>206</v>
      </c>
      <c r="O5" t="s">
        <v>209</v>
      </c>
      <c r="P5">
        <v>42</v>
      </c>
      <c r="Q5">
        <v>1</v>
      </c>
      <c r="R5">
        <v>420</v>
      </c>
      <c r="S5">
        <v>769</v>
      </c>
      <c r="T5">
        <v>349</v>
      </c>
      <c r="U5">
        <f t="shared" si="0"/>
        <v>420</v>
      </c>
      <c r="V5">
        <f t="shared" si="1"/>
        <v>769</v>
      </c>
    </row>
    <row r="6" spans="1:22" x14ac:dyDescent="0.25">
      <c r="A6" t="str">
        <v>Sale-105</v>
      </c>
      <c r="B6" t="s">
        <v>29</v>
      </c>
      <c r="C6">
        <v>44533</v>
      </c>
      <c r="D6">
        <v>3</v>
      </c>
      <c r="E6" t="s">
        <v>19</v>
      </c>
      <c r="F6">
        <v>2021</v>
      </c>
      <c r="G6">
        <v>37</v>
      </c>
      <c r="H6" t="s">
        <v>20</v>
      </c>
      <c r="I6" t="s">
        <v>144</v>
      </c>
      <c r="J6" t="s">
        <v>186</v>
      </c>
      <c r="K6" t="s">
        <v>188</v>
      </c>
      <c r="L6" t="s">
        <v>22</v>
      </c>
      <c r="M6" t="s">
        <v>23</v>
      </c>
      <c r="N6" t="s">
        <v>205</v>
      </c>
      <c r="O6" t="s">
        <v>208</v>
      </c>
      <c r="P6">
        <v>46</v>
      </c>
      <c r="Q6">
        <v>2</v>
      </c>
      <c r="R6">
        <v>1252</v>
      </c>
      <c r="S6">
        <v>2295</v>
      </c>
      <c r="T6">
        <v>2086</v>
      </c>
      <c r="U6">
        <f t="shared" si="0"/>
        <v>2504</v>
      </c>
      <c r="V6">
        <f t="shared" si="1"/>
        <v>4590</v>
      </c>
    </row>
    <row r="7" spans="1:22" x14ac:dyDescent="0.25">
      <c r="A7" t="str">
        <v>Sale-106</v>
      </c>
      <c r="B7" t="s">
        <v>30</v>
      </c>
      <c r="C7">
        <v>44533</v>
      </c>
      <c r="D7">
        <v>3</v>
      </c>
      <c r="E7" t="s">
        <v>19</v>
      </c>
      <c r="F7">
        <v>2021</v>
      </c>
      <c r="G7">
        <v>24</v>
      </c>
      <c r="H7" t="s">
        <v>31</v>
      </c>
      <c r="I7" t="s">
        <v>144</v>
      </c>
      <c r="J7" t="s">
        <v>185</v>
      </c>
      <c r="K7" t="s">
        <v>189</v>
      </c>
      <c r="L7" t="s">
        <v>22</v>
      </c>
      <c r="M7" t="s">
        <v>23</v>
      </c>
      <c r="N7" t="s">
        <v>205</v>
      </c>
      <c r="O7" t="s">
        <v>208</v>
      </c>
      <c r="P7">
        <v>38</v>
      </c>
      <c r="Q7">
        <v>1</v>
      </c>
      <c r="R7">
        <v>1252</v>
      </c>
      <c r="S7">
        <v>2295</v>
      </c>
      <c r="T7">
        <v>1043</v>
      </c>
      <c r="U7">
        <f t="shared" si="0"/>
        <v>1252</v>
      </c>
      <c r="V7">
        <f t="shared" si="1"/>
        <v>2295</v>
      </c>
    </row>
    <row r="8" spans="1:22" x14ac:dyDescent="0.25">
      <c r="A8" t="str">
        <v>Sale-107</v>
      </c>
      <c r="B8" t="s">
        <v>32</v>
      </c>
      <c r="C8">
        <v>44533</v>
      </c>
      <c r="D8">
        <v>3</v>
      </c>
      <c r="E8" t="s">
        <v>19</v>
      </c>
      <c r="F8">
        <v>2021</v>
      </c>
      <c r="G8">
        <v>37</v>
      </c>
      <c r="H8" t="s">
        <v>20</v>
      </c>
      <c r="I8" t="s">
        <v>145</v>
      </c>
      <c r="J8" t="s">
        <v>186</v>
      </c>
      <c r="K8" t="s">
        <v>203</v>
      </c>
      <c r="L8" t="s">
        <v>22</v>
      </c>
      <c r="M8" t="s">
        <v>23</v>
      </c>
      <c r="N8" t="s">
        <v>205</v>
      </c>
      <c r="O8" t="s">
        <v>208</v>
      </c>
      <c r="P8">
        <v>46</v>
      </c>
      <c r="Q8">
        <v>1</v>
      </c>
      <c r="R8">
        <v>1252</v>
      </c>
      <c r="S8">
        <v>2295</v>
      </c>
      <c r="T8">
        <v>1043</v>
      </c>
      <c r="U8">
        <f t="shared" si="0"/>
        <v>1252</v>
      </c>
      <c r="V8">
        <f t="shared" si="1"/>
        <v>2295</v>
      </c>
    </row>
    <row r="9" spans="1:22" s="4" customFormat="1" x14ac:dyDescent="0.25">
      <c r="A9" t="str">
        <v>Sale-108</v>
      </c>
      <c r="B9" t="s">
        <v>34</v>
      </c>
      <c r="C9">
        <v>44534</v>
      </c>
      <c r="D9">
        <v>4</v>
      </c>
      <c r="E9" t="s">
        <v>19</v>
      </c>
      <c r="F9">
        <v>2021</v>
      </c>
      <c r="G9">
        <v>31</v>
      </c>
      <c r="H9" t="s">
        <v>27</v>
      </c>
      <c r="I9" t="s">
        <v>144</v>
      </c>
      <c r="J9" t="s">
        <v>181</v>
      </c>
      <c r="K9" t="s">
        <v>192</v>
      </c>
      <c r="L9" t="s">
        <v>22</v>
      </c>
      <c r="M9" t="s">
        <v>23</v>
      </c>
      <c r="N9" t="s">
        <v>206</v>
      </c>
      <c r="O9" t="s">
        <v>209</v>
      </c>
      <c r="P9">
        <v>42</v>
      </c>
      <c r="Q9">
        <v>4</v>
      </c>
      <c r="R9">
        <v>420</v>
      </c>
      <c r="S9">
        <v>769</v>
      </c>
      <c r="T9">
        <v>1396</v>
      </c>
      <c r="U9">
        <f t="shared" si="0"/>
        <v>1680</v>
      </c>
      <c r="V9">
        <f t="shared" si="1"/>
        <v>3076</v>
      </c>
    </row>
    <row r="10" spans="1:22" x14ac:dyDescent="0.25">
      <c r="A10" t="str">
        <v>Sale-109</v>
      </c>
      <c r="B10" t="s">
        <v>35</v>
      </c>
      <c r="C10">
        <v>44535</v>
      </c>
      <c r="D10">
        <v>5</v>
      </c>
      <c r="E10" t="s">
        <v>19</v>
      </c>
      <c r="F10">
        <v>2021</v>
      </c>
      <c r="G10">
        <v>39</v>
      </c>
      <c r="H10" t="s">
        <v>20</v>
      </c>
      <c r="I10" t="s">
        <v>144</v>
      </c>
      <c r="J10" t="s">
        <v>186</v>
      </c>
      <c r="K10" t="s">
        <v>188</v>
      </c>
      <c r="L10" t="s">
        <v>22</v>
      </c>
      <c r="M10" t="s">
        <v>23</v>
      </c>
      <c r="N10" t="s">
        <v>205</v>
      </c>
      <c r="O10" t="s">
        <v>208</v>
      </c>
      <c r="P10">
        <v>46</v>
      </c>
      <c r="Q10">
        <v>4</v>
      </c>
      <c r="R10">
        <v>1252</v>
      </c>
      <c r="S10">
        <v>2295</v>
      </c>
      <c r="T10">
        <v>4172</v>
      </c>
      <c r="U10">
        <f t="shared" si="0"/>
        <v>5008</v>
      </c>
      <c r="V10">
        <f t="shared" si="1"/>
        <v>9180</v>
      </c>
    </row>
    <row r="11" spans="1:22" x14ac:dyDescent="0.25">
      <c r="A11" t="str">
        <v>Sale-110</v>
      </c>
      <c r="B11" t="s">
        <v>36</v>
      </c>
      <c r="C11">
        <v>44535</v>
      </c>
      <c r="D11">
        <v>5</v>
      </c>
      <c r="E11" t="s">
        <v>19</v>
      </c>
      <c r="F11">
        <v>2021</v>
      </c>
      <c r="G11">
        <v>42</v>
      </c>
      <c r="H11" t="s">
        <v>20</v>
      </c>
      <c r="I11" t="s">
        <v>145</v>
      </c>
      <c r="J11" t="s">
        <v>184</v>
      </c>
      <c r="K11" t="s">
        <v>194</v>
      </c>
      <c r="L11" t="s">
        <v>22</v>
      </c>
      <c r="M11" t="s">
        <v>23</v>
      </c>
      <c r="N11" t="s">
        <v>205</v>
      </c>
      <c r="O11" t="s">
        <v>208</v>
      </c>
      <c r="P11">
        <v>38</v>
      </c>
      <c r="Q11">
        <v>4</v>
      </c>
      <c r="R11">
        <v>1252</v>
      </c>
      <c r="S11">
        <v>2295</v>
      </c>
      <c r="T11">
        <v>4172</v>
      </c>
      <c r="U11">
        <f t="shared" si="0"/>
        <v>5008</v>
      </c>
      <c r="V11">
        <f t="shared" si="1"/>
        <v>9180</v>
      </c>
    </row>
    <row r="12" spans="1:22" x14ac:dyDescent="0.25">
      <c r="A12" t="str">
        <v>Sale-111</v>
      </c>
      <c r="B12" t="s">
        <v>38</v>
      </c>
      <c r="C12">
        <v>44535</v>
      </c>
      <c r="D12">
        <v>5</v>
      </c>
      <c r="E12" t="s">
        <v>19</v>
      </c>
      <c r="F12">
        <v>2021</v>
      </c>
      <c r="G12">
        <v>35</v>
      </c>
      <c r="H12" t="s">
        <v>20</v>
      </c>
      <c r="I12" t="s">
        <v>144</v>
      </c>
      <c r="J12" t="s">
        <v>181</v>
      </c>
      <c r="K12" t="s">
        <v>196</v>
      </c>
      <c r="L12" t="s">
        <v>22</v>
      </c>
      <c r="M12" t="s">
        <v>23</v>
      </c>
      <c r="N12" t="s">
        <v>205</v>
      </c>
      <c r="O12" t="s">
        <v>209</v>
      </c>
      <c r="P12">
        <v>38</v>
      </c>
      <c r="Q12">
        <v>1</v>
      </c>
      <c r="R12">
        <v>1266</v>
      </c>
      <c r="S12">
        <v>2320</v>
      </c>
      <c r="T12">
        <v>1054</v>
      </c>
      <c r="U12">
        <f t="shared" si="0"/>
        <v>1266</v>
      </c>
      <c r="V12">
        <f t="shared" si="1"/>
        <v>2320</v>
      </c>
    </row>
    <row r="13" spans="1:22" x14ac:dyDescent="0.25">
      <c r="A13" t="str">
        <v>Sale-112</v>
      </c>
      <c r="B13" t="s">
        <v>40</v>
      </c>
      <c r="C13">
        <v>44535</v>
      </c>
      <c r="D13">
        <v>5</v>
      </c>
      <c r="E13" t="s">
        <v>19</v>
      </c>
      <c r="F13">
        <v>2021</v>
      </c>
      <c r="G13">
        <v>37</v>
      </c>
      <c r="H13" t="s">
        <v>20</v>
      </c>
      <c r="I13" t="s">
        <v>144</v>
      </c>
      <c r="J13" t="s">
        <v>186</v>
      </c>
      <c r="K13" t="s">
        <v>188</v>
      </c>
      <c r="L13" t="s">
        <v>22</v>
      </c>
      <c r="M13" t="s">
        <v>23</v>
      </c>
      <c r="N13" t="s">
        <v>205</v>
      </c>
      <c r="O13" t="s">
        <v>208</v>
      </c>
      <c r="P13">
        <v>46</v>
      </c>
      <c r="Q13">
        <v>1</v>
      </c>
      <c r="R13">
        <v>1252</v>
      </c>
      <c r="S13">
        <v>2295</v>
      </c>
      <c r="T13">
        <v>1043</v>
      </c>
      <c r="U13">
        <f t="shared" si="0"/>
        <v>1252</v>
      </c>
      <c r="V13">
        <f t="shared" si="1"/>
        <v>2295</v>
      </c>
    </row>
    <row r="14" spans="1:22" x14ac:dyDescent="0.25">
      <c r="A14" t="str">
        <v>Sale-113</v>
      </c>
      <c r="B14" t="s">
        <v>41</v>
      </c>
      <c r="C14">
        <v>44536</v>
      </c>
      <c r="D14">
        <v>6</v>
      </c>
      <c r="E14" t="s">
        <v>19</v>
      </c>
      <c r="F14">
        <v>2021</v>
      </c>
      <c r="G14">
        <v>23</v>
      </c>
      <c r="H14" t="s">
        <v>31</v>
      </c>
      <c r="I14" t="s">
        <v>145</v>
      </c>
      <c r="J14" t="s">
        <v>185</v>
      </c>
      <c r="K14" t="s">
        <v>189</v>
      </c>
      <c r="L14" t="s">
        <v>22</v>
      </c>
      <c r="M14" t="s">
        <v>23</v>
      </c>
      <c r="N14" t="s">
        <v>206</v>
      </c>
      <c r="O14" t="s">
        <v>209</v>
      </c>
      <c r="P14">
        <v>46</v>
      </c>
      <c r="Q14">
        <v>3</v>
      </c>
      <c r="R14">
        <v>420</v>
      </c>
      <c r="S14">
        <v>769</v>
      </c>
      <c r="T14">
        <v>1047</v>
      </c>
      <c r="U14">
        <f t="shared" si="0"/>
        <v>1260</v>
      </c>
      <c r="V14">
        <f t="shared" si="1"/>
        <v>2307</v>
      </c>
    </row>
    <row r="15" spans="1:22" x14ac:dyDescent="0.25">
      <c r="A15" t="str">
        <v>Sale-114</v>
      </c>
      <c r="B15" t="s">
        <v>42</v>
      </c>
      <c r="C15">
        <v>44536</v>
      </c>
      <c r="D15">
        <v>6</v>
      </c>
      <c r="E15" t="s">
        <v>19</v>
      </c>
      <c r="F15">
        <v>2021</v>
      </c>
      <c r="G15">
        <v>27</v>
      </c>
      <c r="H15" t="s">
        <v>27</v>
      </c>
      <c r="I15" t="s">
        <v>145</v>
      </c>
      <c r="J15" t="s">
        <v>182</v>
      </c>
      <c r="K15" t="s">
        <v>187</v>
      </c>
      <c r="L15" t="s">
        <v>22</v>
      </c>
      <c r="M15" t="s">
        <v>23</v>
      </c>
      <c r="N15" t="s">
        <v>205</v>
      </c>
      <c r="O15" t="s">
        <v>208</v>
      </c>
      <c r="P15">
        <v>46</v>
      </c>
      <c r="Q15">
        <v>1</v>
      </c>
      <c r="R15">
        <v>1252</v>
      </c>
      <c r="S15">
        <v>2295</v>
      </c>
      <c r="T15">
        <v>1043</v>
      </c>
      <c r="U15">
        <f t="shared" si="0"/>
        <v>1252</v>
      </c>
      <c r="V15">
        <f t="shared" si="1"/>
        <v>2295</v>
      </c>
    </row>
    <row r="16" spans="1:22" x14ac:dyDescent="0.25">
      <c r="A16" t="str">
        <v>Sale-115</v>
      </c>
      <c r="B16" t="s">
        <v>44</v>
      </c>
      <c r="C16">
        <v>44536</v>
      </c>
      <c r="D16">
        <v>6</v>
      </c>
      <c r="E16" t="s">
        <v>19</v>
      </c>
      <c r="F16">
        <v>2021</v>
      </c>
      <c r="G16">
        <v>36</v>
      </c>
      <c r="H16" t="s">
        <v>31</v>
      </c>
      <c r="I16" t="s">
        <v>145</v>
      </c>
      <c r="J16" t="s">
        <v>181</v>
      </c>
      <c r="K16" t="s">
        <v>192</v>
      </c>
      <c r="L16" t="s">
        <v>22</v>
      </c>
      <c r="M16" t="s">
        <v>23</v>
      </c>
      <c r="N16" t="s">
        <v>205</v>
      </c>
      <c r="O16" t="s">
        <v>208</v>
      </c>
      <c r="P16">
        <v>42</v>
      </c>
      <c r="Q16">
        <v>1</v>
      </c>
      <c r="R16">
        <v>1252</v>
      </c>
      <c r="S16">
        <v>2295</v>
      </c>
      <c r="T16">
        <v>1043</v>
      </c>
      <c r="U16">
        <f t="shared" si="0"/>
        <v>1252</v>
      </c>
      <c r="V16">
        <f t="shared" si="1"/>
        <v>2295</v>
      </c>
    </row>
    <row r="17" spans="1:22" x14ac:dyDescent="0.25">
      <c r="A17" t="str">
        <v>Sale-116</v>
      </c>
      <c r="B17" t="s">
        <v>45</v>
      </c>
      <c r="C17">
        <v>44536</v>
      </c>
      <c r="D17">
        <v>6</v>
      </c>
      <c r="E17" t="s">
        <v>19</v>
      </c>
      <c r="F17">
        <v>2021</v>
      </c>
      <c r="G17">
        <v>47</v>
      </c>
      <c r="H17" t="s">
        <v>20</v>
      </c>
      <c r="I17" t="s">
        <v>145</v>
      </c>
      <c r="J17" t="s">
        <v>185</v>
      </c>
      <c r="K17" t="s">
        <v>189</v>
      </c>
      <c r="L17" t="s">
        <v>22</v>
      </c>
      <c r="M17" t="s">
        <v>23</v>
      </c>
      <c r="N17" t="s">
        <v>205</v>
      </c>
      <c r="O17" t="s">
        <v>209</v>
      </c>
      <c r="P17">
        <v>38</v>
      </c>
      <c r="Q17">
        <v>1</v>
      </c>
      <c r="R17">
        <v>1266</v>
      </c>
      <c r="S17">
        <v>2320</v>
      </c>
      <c r="T17">
        <v>1054</v>
      </c>
      <c r="U17">
        <f t="shared" si="0"/>
        <v>1266</v>
      </c>
      <c r="V17">
        <f t="shared" si="1"/>
        <v>2320</v>
      </c>
    </row>
    <row r="18" spans="1:22" x14ac:dyDescent="0.25">
      <c r="A18" t="str">
        <v>Sale-117</v>
      </c>
      <c r="B18" t="s">
        <v>46</v>
      </c>
      <c r="C18">
        <v>44537</v>
      </c>
      <c r="D18">
        <v>7</v>
      </c>
      <c r="E18" t="s">
        <v>146</v>
      </c>
      <c r="F18">
        <v>2021</v>
      </c>
      <c r="G18">
        <v>30</v>
      </c>
      <c r="H18" t="s">
        <v>27</v>
      </c>
      <c r="I18" t="s">
        <v>145</v>
      </c>
      <c r="J18" t="s">
        <v>186</v>
      </c>
      <c r="K18" t="s">
        <v>188</v>
      </c>
      <c r="L18" t="s">
        <v>22</v>
      </c>
      <c r="M18" t="s">
        <v>23</v>
      </c>
      <c r="N18" t="s">
        <v>206</v>
      </c>
      <c r="O18" t="s">
        <v>209</v>
      </c>
      <c r="P18">
        <v>38</v>
      </c>
      <c r="Q18">
        <v>4</v>
      </c>
      <c r="R18">
        <v>420</v>
      </c>
      <c r="S18">
        <v>769</v>
      </c>
      <c r="T18">
        <v>1396</v>
      </c>
      <c r="U18">
        <f t="shared" si="0"/>
        <v>1680</v>
      </c>
      <c r="V18">
        <f t="shared" si="1"/>
        <v>3076</v>
      </c>
    </row>
    <row r="19" spans="1:22" x14ac:dyDescent="0.25">
      <c r="A19" t="str">
        <v>Sale-118</v>
      </c>
      <c r="B19" t="s">
        <v>47</v>
      </c>
      <c r="C19">
        <v>44537</v>
      </c>
      <c r="D19">
        <v>7</v>
      </c>
      <c r="E19" t="s">
        <v>19</v>
      </c>
      <c r="F19">
        <v>2021</v>
      </c>
      <c r="G19">
        <v>38</v>
      </c>
      <c r="H19" t="s">
        <v>20</v>
      </c>
      <c r="I19" t="s">
        <v>145</v>
      </c>
      <c r="J19" t="s">
        <v>186</v>
      </c>
      <c r="K19" t="s">
        <v>188</v>
      </c>
      <c r="L19" t="s">
        <v>22</v>
      </c>
      <c r="M19" t="s">
        <v>23</v>
      </c>
      <c r="N19" t="s">
        <v>205</v>
      </c>
      <c r="O19" t="s">
        <v>209</v>
      </c>
      <c r="P19">
        <v>42</v>
      </c>
      <c r="Q19">
        <v>2</v>
      </c>
      <c r="R19">
        <v>1266</v>
      </c>
      <c r="S19">
        <v>2320</v>
      </c>
      <c r="T19">
        <v>2108</v>
      </c>
      <c r="U19">
        <f t="shared" si="0"/>
        <v>2532</v>
      </c>
      <c r="V19">
        <f t="shared" si="1"/>
        <v>4640</v>
      </c>
    </row>
    <row r="20" spans="1:22" x14ac:dyDescent="0.25">
      <c r="A20" t="str">
        <v>Sale-119</v>
      </c>
      <c r="B20" t="s">
        <v>48</v>
      </c>
      <c r="C20">
        <v>44538</v>
      </c>
      <c r="D20">
        <v>8</v>
      </c>
      <c r="E20" t="s">
        <v>19</v>
      </c>
      <c r="F20">
        <v>2021</v>
      </c>
      <c r="G20">
        <v>19</v>
      </c>
      <c r="H20" t="s">
        <v>31</v>
      </c>
      <c r="I20" t="s">
        <v>144</v>
      </c>
      <c r="J20" t="s">
        <v>181</v>
      </c>
      <c r="K20" t="s">
        <v>192</v>
      </c>
      <c r="L20" t="s">
        <v>22</v>
      </c>
      <c r="M20" t="s">
        <v>23</v>
      </c>
      <c r="N20" t="s">
        <v>207</v>
      </c>
      <c r="O20" t="s">
        <v>209</v>
      </c>
      <c r="P20">
        <v>42</v>
      </c>
      <c r="Q20">
        <v>4</v>
      </c>
      <c r="R20">
        <v>308</v>
      </c>
      <c r="S20">
        <v>565</v>
      </c>
      <c r="T20">
        <v>1028</v>
      </c>
      <c r="U20">
        <f t="shared" si="0"/>
        <v>1232</v>
      </c>
      <c r="V20">
        <f t="shared" si="1"/>
        <v>2260</v>
      </c>
    </row>
    <row r="21" spans="1:22" x14ac:dyDescent="0.25">
      <c r="A21" t="str">
        <v>Sale-120</v>
      </c>
      <c r="B21" t="s">
        <v>49</v>
      </c>
      <c r="C21">
        <v>44538</v>
      </c>
      <c r="D21">
        <v>8</v>
      </c>
      <c r="E21" t="s">
        <v>19</v>
      </c>
      <c r="F21">
        <v>2021</v>
      </c>
      <c r="G21">
        <v>30</v>
      </c>
      <c r="H21" t="s">
        <v>27</v>
      </c>
      <c r="I21" t="s">
        <v>144</v>
      </c>
      <c r="J21" t="s">
        <v>182</v>
      </c>
      <c r="K21" t="s">
        <v>187</v>
      </c>
      <c r="L21" t="s">
        <v>22</v>
      </c>
      <c r="M21" t="s">
        <v>23</v>
      </c>
      <c r="N21" t="s">
        <v>205</v>
      </c>
      <c r="O21" t="s">
        <v>209</v>
      </c>
      <c r="P21">
        <v>38</v>
      </c>
      <c r="Q21">
        <v>4</v>
      </c>
      <c r="R21">
        <v>1266</v>
      </c>
      <c r="S21">
        <v>2320</v>
      </c>
      <c r="T21">
        <v>4216</v>
      </c>
      <c r="U21">
        <f t="shared" si="0"/>
        <v>5064</v>
      </c>
      <c r="V21">
        <f t="shared" si="1"/>
        <v>9280</v>
      </c>
    </row>
    <row r="22" spans="1:22" x14ac:dyDescent="0.25">
      <c r="A22" t="str">
        <v>Sale-121</v>
      </c>
      <c r="B22" t="s">
        <v>50</v>
      </c>
      <c r="C22">
        <v>44538</v>
      </c>
      <c r="D22">
        <v>8</v>
      </c>
      <c r="E22" t="s">
        <v>19</v>
      </c>
      <c r="F22">
        <v>2021</v>
      </c>
      <c r="G22">
        <v>39</v>
      </c>
      <c r="H22" t="s">
        <v>20</v>
      </c>
      <c r="I22" t="s">
        <v>144</v>
      </c>
      <c r="J22" t="s">
        <v>186</v>
      </c>
      <c r="K22" t="s">
        <v>195</v>
      </c>
      <c r="L22" t="s">
        <v>22</v>
      </c>
      <c r="M22" t="s">
        <v>23</v>
      </c>
      <c r="N22" t="s">
        <v>205</v>
      </c>
      <c r="O22" t="s">
        <v>208</v>
      </c>
      <c r="P22">
        <v>42</v>
      </c>
      <c r="Q22">
        <v>2</v>
      </c>
      <c r="R22">
        <v>1252</v>
      </c>
      <c r="S22">
        <v>2295</v>
      </c>
      <c r="T22">
        <v>2086</v>
      </c>
      <c r="U22">
        <f t="shared" si="0"/>
        <v>2504</v>
      </c>
      <c r="V22">
        <f t="shared" si="1"/>
        <v>4590</v>
      </c>
    </row>
    <row r="23" spans="1:22" x14ac:dyDescent="0.25">
      <c r="A23" t="str">
        <v>Sale-122</v>
      </c>
      <c r="B23" t="s">
        <v>52</v>
      </c>
      <c r="C23">
        <v>44538</v>
      </c>
      <c r="D23">
        <v>8</v>
      </c>
      <c r="E23" t="s">
        <v>19</v>
      </c>
      <c r="F23">
        <v>2021</v>
      </c>
      <c r="G23">
        <v>35</v>
      </c>
      <c r="H23" t="s">
        <v>20</v>
      </c>
      <c r="I23" t="s">
        <v>144</v>
      </c>
      <c r="J23" t="s">
        <v>186</v>
      </c>
      <c r="K23" t="s">
        <v>188</v>
      </c>
      <c r="L23" t="s">
        <v>22</v>
      </c>
      <c r="M23" t="s">
        <v>23</v>
      </c>
      <c r="N23" t="s">
        <v>207</v>
      </c>
      <c r="O23" t="s">
        <v>208</v>
      </c>
      <c r="P23">
        <v>42</v>
      </c>
      <c r="Q23">
        <v>4</v>
      </c>
      <c r="R23">
        <v>295</v>
      </c>
      <c r="S23">
        <v>540</v>
      </c>
      <c r="T23">
        <v>245</v>
      </c>
      <c r="U23">
        <f t="shared" si="0"/>
        <v>1180</v>
      </c>
      <c r="V23">
        <f t="shared" si="1"/>
        <v>2160</v>
      </c>
    </row>
    <row r="24" spans="1:22" x14ac:dyDescent="0.25">
      <c r="A24" t="str">
        <v>Sale-123</v>
      </c>
      <c r="B24" t="s">
        <v>53</v>
      </c>
      <c r="C24">
        <v>44539</v>
      </c>
      <c r="D24">
        <v>9</v>
      </c>
      <c r="E24" t="s">
        <v>19</v>
      </c>
      <c r="F24">
        <v>2021</v>
      </c>
      <c r="G24">
        <v>33</v>
      </c>
      <c r="H24" t="s">
        <v>27</v>
      </c>
      <c r="I24" t="s">
        <v>144</v>
      </c>
      <c r="J24" t="s">
        <v>181</v>
      </c>
      <c r="K24" t="s">
        <v>202</v>
      </c>
      <c r="L24" t="s">
        <v>22</v>
      </c>
      <c r="M24" t="s">
        <v>23</v>
      </c>
      <c r="N24" t="s">
        <v>204</v>
      </c>
      <c r="O24" t="s">
        <v>208</v>
      </c>
      <c r="P24">
        <v>38</v>
      </c>
      <c r="Q24">
        <v>2</v>
      </c>
      <c r="R24">
        <v>1898</v>
      </c>
      <c r="S24">
        <v>3375</v>
      </c>
      <c r="T24">
        <v>2954</v>
      </c>
      <c r="U24">
        <f t="shared" si="0"/>
        <v>3796</v>
      </c>
      <c r="V24">
        <f t="shared" si="1"/>
        <v>6750</v>
      </c>
    </row>
    <row r="25" spans="1:22" x14ac:dyDescent="0.25">
      <c r="A25" t="str">
        <v>Sale-124</v>
      </c>
      <c r="B25" t="s">
        <v>55</v>
      </c>
      <c r="C25">
        <v>44539</v>
      </c>
      <c r="D25">
        <v>9</v>
      </c>
      <c r="E25" t="s">
        <v>19</v>
      </c>
      <c r="F25">
        <v>2021</v>
      </c>
      <c r="G25">
        <v>41</v>
      </c>
      <c r="H25" t="s">
        <v>20</v>
      </c>
      <c r="I25" t="s">
        <v>144</v>
      </c>
      <c r="J25" t="s">
        <v>184</v>
      </c>
      <c r="K25" t="s">
        <v>190</v>
      </c>
      <c r="L25" t="s">
        <v>22</v>
      </c>
      <c r="M25" t="s">
        <v>23</v>
      </c>
      <c r="N25" t="s">
        <v>205</v>
      </c>
      <c r="O25" t="s">
        <v>209</v>
      </c>
      <c r="P25">
        <v>42</v>
      </c>
      <c r="Q25">
        <v>1</v>
      </c>
      <c r="R25">
        <v>1266</v>
      </c>
      <c r="S25">
        <v>2320</v>
      </c>
      <c r="T25">
        <v>1054</v>
      </c>
      <c r="U25">
        <f t="shared" si="0"/>
        <v>1266</v>
      </c>
      <c r="V25">
        <f t="shared" si="1"/>
        <v>2320</v>
      </c>
    </row>
    <row r="26" spans="1:22" x14ac:dyDescent="0.25">
      <c r="A26" t="str">
        <v>Sale-125</v>
      </c>
      <c r="B26" t="s">
        <v>57</v>
      </c>
      <c r="C26">
        <v>44540</v>
      </c>
      <c r="D26">
        <v>10</v>
      </c>
      <c r="E26" t="s">
        <v>19</v>
      </c>
      <c r="F26">
        <v>2021</v>
      </c>
      <c r="G26">
        <v>34</v>
      </c>
      <c r="H26" t="s">
        <v>27</v>
      </c>
      <c r="I26" t="s">
        <v>144</v>
      </c>
      <c r="J26" t="s">
        <v>186</v>
      </c>
      <c r="K26" t="s">
        <v>188</v>
      </c>
      <c r="L26" t="s">
        <v>22</v>
      </c>
      <c r="M26" t="s">
        <v>23</v>
      </c>
      <c r="N26" t="s">
        <v>205</v>
      </c>
      <c r="O26" t="s">
        <v>208</v>
      </c>
      <c r="P26">
        <v>42</v>
      </c>
      <c r="Q26">
        <v>2</v>
      </c>
      <c r="R26">
        <v>1252</v>
      </c>
      <c r="S26">
        <v>2295</v>
      </c>
      <c r="T26">
        <v>2086</v>
      </c>
      <c r="U26">
        <f t="shared" si="0"/>
        <v>2504</v>
      </c>
      <c r="V26">
        <f t="shared" si="1"/>
        <v>4590</v>
      </c>
    </row>
    <row r="27" spans="1:22" x14ac:dyDescent="0.25">
      <c r="A27" t="str">
        <v>Sale-126</v>
      </c>
      <c r="B27" t="s">
        <v>58</v>
      </c>
      <c r="C27">
        <v>44540</v>
      </c>
      <c r="D27">
        <v>10</v>
      </c>
      <c r="E27" t="s">
        <v>19</v>
      </c>
      <c r="F27">
        <v>2021</v>
      </c>
      <c r="G27">
        <v>40</v>
      </c>
      <c r="H27" t="s">
        <v>20</v>
      </c>
      <c r="I27" t="s">
        <v>145</v>
      </c>
      <c r="J27" t="s">
        <v>181</v>
      </c>
      <c r="K27" t="s">
        <v>192</v>
      </c>
      <c r="L27" t="s">
        <v>22</v>
      </c>
      <c r="M27" t="s">
        <v>23</v>
      </c>
      <c r="N27" t="s">
        <v>205</v>
      </c>
      <c r="O27" t="s">
        <v>208</v>
      </c>
      <c r="P27">
        <v>42</v>
      </c>
      <c r="Q27">
        <v>2</v>
      </c>
      <c r="R27">
        <v>1252</v>
      </c>
      <c r="S27">
        <v>2295</v>
      </c>
      <c r="T27">
        <v>2086</v>
      </c>
      <c r="U27">
        <f t="shared" si="0"/>
        <v>2504</v>
      </c>
      <c r="V27">
        <f t="shared" si="1"/>
        <v>4590</v>
      </c>
    </row>
    <row r="28" spans="1:22" x14ac:dyDescent="0.25">
      <c r="A28" t="str">
        <v>Sale-127</v>
      </c>
      <c r="B28" t="s">
        <v>59</v>
      </c>
      <c r="C28">
        <v>44540</v>
      </c>
      <c r="D28">
        <v>10</v>
      </c>
      <c r="E28" t="s">
        <v>19</v>
      </c>
      <c r="F28">
        <v>2021</v>
      </c>
      <c r="G28">
        <v>26</v>
      </c>
      <c r="H28" t="s">
        <v>27</v>
      </c>
      <c r="I28" t="s">
        <v>145</v>
      </c>
      <c r="J28" t="s">
        <v>185</v>
      </c>
      <c r="K28" t="s">
        <v>189</v>
      </c>
      <c r="L28" t="s">
        <v>22</v>
      </c>
      <c r="M28" t="s">
        <v>23</v>
      </c>
      <c r="N28" t="s">
        <v>205</v>
      </c>
      <c r="O28" t="s">
        <v>208</v>
      </c>
      <c r="P28">
        <v>38</v>
      </c>
      <c r="Q28">
        <v>1</v>
      </c>
      <c r="R28">
        <v>1252</v>
      </c>
      <c r="S28">
        <v>2295</v>
      </c>
      <c r="T28">
        <v>1043</v>
      </c>
      <c r="U28">
        <f t="shared" si="0"/>
        <v>1252</v>
      </c>
      <c r="V28">
        <f t="shared" si="1"/>
        <v>2295</v>
      </c>
    </row>
    <row r="29" spans="1:22" x14ac:dyDescent="0.25">
      <c r="A29" t="str">
        <v>Sale-128</v>
      </c>
      <c r="B29" t="s">
        <v>60</v>
      </c>
      <c r="C29">
        <v>44540</v>
      </c>
      <c r="D29">
        <v>10</v>
      </c>
      <c r="E29" t="s">
        <v>19</v>
      </c>
      <c r="F29">
        <v>2021</v>
      </c>
      <c r="G29">
        <v>34</v>
      </c>
      <c r="H29" t="s">
        <v>27</v>
      </c>
      <c r="I29" t="s">
        <v>145</v>
      </c>
      <c r="J29" t="s">
        <v>186</v>
      </c>
      <c r="K29" t="s">
        <v>188</v>
      </c>
      <c r="L29" t="s">
        <v>22</v>
      </c>
      <c r="M29" t="s">
        <v>23</v>
      </c>
      <c r="N29" t="s">
        <v>207</v>
      </c>
      <c r="O29" t="s">
        <v>208</v>
      </c>
      <c r="P29">
        <v>40</v>
      </c>
      <c r="Q29">
        <v>1</v>
      </c>
      <c r="R29">
        <v>295</v>
      </c>
      <c r="S29">
        <v>540</v>
      </c>
      <c r="T29">
        <v>245</v>
      </c>
      <c r="U29">
        <f t="shared" si="0"/>
        <v>295</v>
      </c>
      <c r="V29">
        <f t="shared" si="1"/>
        <v>540</v>
      </c>
    </row>
    <row r="30" spans="1:22" x14ac:dyDescent="0.25">
      <c r="A30" t="str">
        <v>Sale-129</v>
      </c>
      <c r="B30" t="s">
        <v>61</v>
      </c>
      <c r="C30">
        <v>44540</v>
      </c>
      <c r="D30">
        <v>10</v>
      </c>
      <c r="E30" t="s">
        <v>19</v>
      </c>
      <c r="F30">
        <v>2021</v>
      </c>
      <c r="G30">
        <v>34</v>
      </c>
      <c r="H30" t="s">
        <v>27</v>
      </c>
      <c r="I30" t="s">
        <v>144</v>
      </c>
      <c r="J30" t="s">
        <v>186</v>
      </c>
      <c r="K30" t="s">
        <v>203</v>
      </c>
      <c r="L30" t="s">
        <v>22</v>
      </c>
      <c r="M30" t="s">
        <v>23</v>
      </c>
      <c r="N30" t="s">
        <v>204</v>
      </c>
      <c r="O30" t="s">
        <v>209</v>
      </c>
      <c r="P30">
        <v>44</v>
      </c>
      <c r="Q30">
        <v>1</v>
      </c>
      <c r="R30">
        <v>1912</v>
      </c>
      <c r="S30">
        <v>3400</v>
      </c>
      <c r="T30">
        <v>1488</v>
      </c>
      <c r="U30">
        <f t="shared" si="0"/>
        <v>1912</v>
      </c>
      <c r="V30">
        <f t="shared" si="1"/>
        <v>3400</v>
      </c>
    </row>
    <row r="31" spans="1:22" x14ac:dyDescent="0.25">
      <c r="A31" t="str">
        <v>Sale-130</v>
      </c>
      <c r="B31" t="s">
        <v>62</v>
      </c>
      <c r="C31">
        <v>44540</v>
      </c>
      <c r="D31">
        <v>10</v>
      </c>
      <c r="E31" t="s">
        <v>19</v>
      </c>
      <c r="F31">
        <v>2021</v>
      </c>
      <c r="G31">
        <v>38</v>
      </c>
      <c r="H31" t="s">
        <v>20</v>
      </c>
      <c r="I31" t="s">
        <v>145</v>
      </c>
      <c r="J31" t="s">
        <v>181</v>
      </c>
      <c r="K31" t="s">
        <v>192</v>
      </c>
      <c r="L31" t="s">
        <v>22</v>
      </c>
      <c r="M31" t="s">
        <v>23</v>
      </c>
      <c r="N31" t="s">
        <v>205</v>
      </c>
      <c r="O31" t="s">
        <v>208</v>
      </c>
      <c r="P31">
        <v>38</v>
      </c>
      <c r="Q31">
        <v>1</v>
      </c>
      <c r="R31">
        <v>1252</v>
      </c>
      <c r="S31">
        <v>2295</v>
      </c>
      <c r="T31">
        <v>1043</v>
      </c>
      <c r="U31">
        <f t="shared" si="0"/>
        <v>1252</v>
      </c>
      <c r="V31">
        <f t="shared" si="1"/>
        <v>2295</v>
      </c>
    </row>
    <row r="32" spans="1:22" x14ac:dyDescent="0.25">
      <c r="A32" t="str">
        <v>Sale-131</v>
      </c>
      <c r="B32" t="s">
        <v>63</v>
      </c>
      <c r="C32">
        <v>44541</v>
      </c>
      <c r="D32">
        <v>11</v>
      </c>
      <c r="E32" t="s">
        <v>19</v>
      </c>
      <c r="F32">
        <v>2021</v>
      </c>
      <c r="G32">
        <v>24</v>
      </c>
      <c r="H32" t="s">
        <v>31</v>
      </c>
      <c r="I32" t="s">
        <v>144</v>
      </c>
      <c r="J32" t="s">
        <v>183</v>
      </c>
      <c r="K32" t="s">
        <v>197</v>
      </c>
      <c r="L32" t="s">
        <v>22</v>
      </c>
      <c r="M32" t="s">
        <v>23</v>
      </c>
      <c r="N32" t="s">
        <v>205</v>
      </c>
      <c r="O32" t="s">
        <v>208</v>
      </c>
      <c r="P32">
        <v>38</v>
      </c>
      <c r="Q32">
        <v>3</v>
      </c>
      <c r="R32">
        <v>1252</v>
      </c>
      <c r="S32">
        <v>2295</v>
      </c>
      <c r="T32">
        <v>3129</v>
      </c>
      <c r="U32">
        <f t="shared" si="0"/>
        <v>3756</v>
      </c>
      <c r="V32">
        <f t="shared" si="1"/>
        <v>6885</v>
      </c>
    </row>
    <row r="33" spans="1:22" x14ac:dyDescent="0.25">
      <c r="A33" t="str">
        <v>Sale-132</v>
      </c>
      <c r="B33" t="s">
        <v>66</v>
      </c>
      <c r="C33">
        <v>44541</v>
      </c>
      <c r="D33">
        <v>11</v>
      </c>
      <c r="E33" t="s">
        <v>19</v>
      </c>
      <c r="F33">
        <v>2021</v>
      </c>
      <c r="G33">
        <v>41</v>
      </c>
      <c r="H33" t="s">
        <v>20</v>
      </c>
      <c r="I33" t="s">
        <v>144</v>
      </c>
      <c r="J33" t="s">
        <v>181</v>
      </c>
      <c r="K33" t="s">
        <v>192</v>
      </c>
      <c r="L33" t="s">
        <v>22</v>
      </c>
      <c r="M33" t="s">
        <v>23</v>
      </c>
      <c r="N33" t="s">
        <v>206</v>
      </c>
      <c r="O33" t="s">
        <v>209</v>
      </c>
      <c r="P33">
        <v>38</v>
      </c>
      <c r="Q33">
        <v>2</v>
      </c>
      <c r="R33">
        <v>420</v>
      </c>
      <c r="S33">
        <v>769</v>
      </c>
      <c r="T33">
        <v>698</v>
      </c>
      <c r="U33">
        <f t="shared" si="0"/>
        <v>840</v>
      </c>
      <c r="V33">
        <f t="shared" si="1"/>
        <v>1538</v>
      </c>
    </row>
    <row r="34" spans="1:22" x14ac:dyDescent="0.25">
      <c r="A34" t="str">
        <v>Sale-133</v>
      </c>
      <c r="B34" t="s">
        <v>67</v>
      </c>
      <c r="C34">
        <v>44541</v>
      </c>
      <c r="D34">
        <v>11</v>
      </c>
      <c r="E34" t="s">
        <v>19</v>
      </c>
      <c r="F34">
        <v>2021</v>
      </c>
      <c r="G34">
        <v>27</v>
      </c>
      <c r="H34" t="s">
        <v>27</v>
      </c>
      <c r="I34" t="s">
        <v>145</v>
      </c>
      <c r="J34" t="s">
        <v>182</v>
      </c>
      <c r="K34" t="s">
        <v>187</v>
      </c>
      <c r="L34" t="s">
        <v>22</v>
      </c>
      <c r="M34" t="s">
        <v>23</v>
      </c>
      <c r="N34" t="s">
        <v>205</v>
      </c>
      <c r="O34" t="s">
        <v>208</v>
      </c>
      <c r="P34">
        <v>46</v>
      </c>
      <c r="Q34">
        <v>1</v>
      </c>
      <c r="R34">
        <v>1252</v>
      </c>
      <c r="S34">
        <v>2295</v>
      </c>
      <c r="T34">
        <v>1043</v>
      </c>
      <c r="U34">
        <f t="shared" si="0"/>
        <v>1252</v>
      </c>
      <c r="V34">
        <f t="shared" si="1"/>
        <v>2295</v>
      </c>
    </row>
    <row r="35" spans="1:22" x14ac:dyDescent="0.25">
      <c r="A35" t="str">
        <v>Sale-134</v>
      </c>
      <c r="B35" t="s">
        <v>68</v>
      </c>
      <c r="C35">
        <v>44541</v>
      </c>
      <c r="D35">
        <v>11</v>
      </c>
      <c r="E35" t="s">
        <v>19</v>
      </c>
      <c r="F35">
        <v>2021</v>
      </c>
      <c r="G35">
        <v>37</v>
      </c>
      <c r="H35" t="s">
        <v>20</v>
      </c>
      <c r="I35" t="s">
        <v>145</v>
      </c>
      <c r="J35" t="s">
        <v>186</v>
      </c>
      <c r="K35" t="s">
        <v>188</v>
      </c>
      <c r="L35" t="s">
        <v>22</v>
      </c>
      <c r="M35" t="s">
        <v>23</v>
      </c>
      <c r="N35" t="s">
        <v>206</v>
      </c>
      <c r="O35" t="s">
        <v>209</v>
      </c>
      <c r="P35">
        <v>46</v>
      </c>
      <c r="Q35">
        <v>1</v>
      </c>
      <c r="R35">
        <v>420</v>
      </c>
      <c r="S35">
        <v>769</v>
      </c>
      <c r="T35">
        <v>349</v>
      </c>
      <c r="U35">
        <f t="shared" si="0"/>
        <v>420</v>
      </c>
      <c r="V35">
        <f t="shared" si="1"/>
        <v>769</v>
      </c>
    </row>
    <row r="36" spans="1:22" x14ac:dyDescent="0.25">
      <c r="A36" t="str">
        <v>Sale-135</v>
      </c>
      <c r="B36" t="s">
        <v>69</v>
      </c>
      <c r="C36">
        <v>44541</v>
      </c>
      <c r="D36">
        <v>11</v>
      </c>
      <c r="E36" t="s">
        <v>19</v>
      </c>
      <c r="F36">
        <v>2021</v>
      </c>
      <c r="G36">
        <v>38</v>
      </c>
      <c r="H36" t="s">
        <v>20</v>
      </c>
      <c r="I36" t="s">
        <v>144</v>
      </c>
      <c r="J36" t="s">
        <v>186</v>
      </c>
      <c r="K36" t="s">
        <v>188</v>
      </c>
      <c r="L36" t="s">
        <v>22</v>
      </c>
      <c r="M36" t="s">
        <v>23</v>
      </c>
      <c r="N36" t="s">
        <v>205</v>
      </c>
      <c r="O36" t="s">
        <v>209</v>
      </c>
      <c r="P36">
        <v>38</v>
      </c>
      <c r="Q36">
        <v>1</v>
      </c>
      <c r="R36">
        <v>1266</v>
      </c>
      <c r="S36">
        <v>2320</v>
      </c>
      <c r="T36">
        <v>1054</v>
      </c>
      <c r="U36">
        <f t="shared" si="0"/>
        <v>1266</v>
      </c>
      <c r="V36">
        <f t="shared" si="1"/>
        <v>2320</v>
      </c>
    </row>
    <row r="37" spans="1:22" x14ac:dyDescent="0.25">
      <c r="A37" t="str">
        <v>Sale-136</v>
      </c>
      <c r="B37" t="s">
        <v>70</v>
      </c>
      <c r="C37">
        <v>44542</v>
      </c>
      <c r="D37">
        <v>12</v>
      </c>
      <c r="E37" t="s">
        <v>19</v>
      </c>
      <c r="F37">
        <v>2021</v>
      </c>
      <c r="G37">
        <v>36</v>
      </c>
      <c r="H37" t="s">
        <v>20</v>
      </c>
      <c r="I37" t="s">
        <v>144</v>
      </c>
      <c r="J37" t="s">
        <v>181</v>
      </c>
      <c r="K37" t="s">
        <v>192</v>
      </c>
      <c r="L37" t="s">
        <v>22</v>
      </c>
      <c r="M37" t="s">
        <v>23</v>
      </c>
      <c r="N37" t="s">
        <v>205</v>
      </c>
      <c r="O37" t="s">
        <v>209</v>
      </c>
      <c r="P37">
        <v>42</v>
      </c>
      <c r="Q37">
        <v>4</v>
      </c>
      <c r="R37">
        <v>1266</v>
      </c>
      <c r="S37">
        <v>2320</v>
      </c>
      <c r="T37">
        <v>4216</v>
      </c>
      <c r="U37">
        <f t="shared" si="0"/>
        <v>5064</v>
      </c>
      <c r="V37">
        <f t="shared" si="1"/>
        <v>9280</v>
      </c>
    </row>
    <row r="38" spans="1:22" x14ac:dyDescent="0.25">
      <c r="A38" t="str">
        <v>Sale-137</v>
      </c>
      <c r="B38" t="s">
        <v>71</v>
      </c>
      <c r="C38">
        <v>44542</v>
      </c>
      <c r="D38">
        <v>12</v>
      </c>
      <c r="E38" t="s">
        <v>19</v>
      </c>
      <c r="F38">
        <v>2021</v>
      </c>
      <c r="G38">
        <v>37</v>
      </c>
      <c r="H38" t="s">
        <v>20</v>
      </c>
      <c r="I38" t="s">
        <v>145</v>
      </c>
      <c r="J38" t="s">
        <v>186</v>
      </c>
      <c r="K38" t="s">
        <v>188</v>
      </c>
      <c r="L38" t="s">
        <v>22</v>
      </c>
      <c r="M38" t="s">
        <v>23</v>
      </c>
      <c r="N38" t="s">
        <v>206</v>
      </c>
      <c r="O38" t="s">
        <v>209</v>
      </c>
      <c r="P38">
        <v>46</v>
      </c>
      <c r="Q38">
        <v>4</v>
      </c>
      <c r="R38">
        <v>420</v>
      </c>
      <c r="S38">
        <v>769</v>
      </c>
      <c r="T38">
        <v>1396</v>
      </c>
      <c r="U38">
        <f t="shared" si="0"/>
        <v>1680</v>
      </c>
      <c r="V38">
        <f t="shared" si="1"/>
        <v>3076</v>
      </c>
    </row>
    <row r="39" spans="1:22" x14ac:dyDescent="0.25">
      <c r="A39" t="str">
        <v>Sale-138</v>
      </c>
      <c r="B39" t="s">
        <v>72</v>
      </c>
      <c r="C39">
        <v>44542</v>
      </c>
      <c r="D39">
        <v>12</v>
      </c>
      <c r="E39" t="s">
        <v>19</v>
      </c>
      <c r="F39">
        <v>2021</v>
      </c>
      <c r="G39">
        <v>34</v>
      </c>
      <c r="H39" t="s">
        <v>27</v>
      </c>
      <c r="I39" t="s">
        <v>145</v>
      </c>
      <c r="J39" t="s">
        <v>181</v>
      </c>
      <c r="K39" t="s">
        <v>192</v>
      </c>
      <c r="L39" t="s">
        <v>22</v>
      </c>
      <c r="M39" t="s">
        <v>23</v>
      </c>
      <c r="N39" t="s">
        <v>205</v>
      </c>
      <c r="O39" t="s">
        <v>208</v>
      </c>
      <c r="P39">
        <v>38</v>
      </c>
      <c r="Q39">
        <v>2</v>
      </c>
      <c r="R39">
        <v>1252</v>
      </c>
      <c r="S39">
        <v>2295</v>
      </c>
      <c r="T39">
        <v>2086</v>
      </c>
      <c r="U39">
        <f t="shared" si="0"/>
        <v>2504</v>
      </c>
      <c r="V39">
        <f t="shared" si="1"/>
        <v>4590</v>
      </c>
    </row>
    <row r="40" spans="1:22" x14ac:dyDescent="0.25">
      <c r="A40" t="str">
        <v>Sale-139</v>
      </c>
      <c r="B40" t="s">
        <v>73</v>
      </c>
      <c r="C40">
        <v>44542</v>
      </c>
      <c r="D40">
        <v>12</v>
      </c>
      <c r="E40" t="s">
        <v>19</v>
      </c>
      <c r="F40">
        <v>2021</v>
      </c>
      <c r="G40">
        <v>35</v>
      </c>
      <c r="H40" t="s">
        <v>20</v>
      </c>
      <c r="I40" t="s">
        <v>144</v>
      </c>
      <c r="J40" t="s">
        <v>181</v>
      </c>
      <c r="K40" t="s">
        <v>202</v>
      </c>
      <c r="L40" t="s">
        <v>22</v>
      </c>
      <c r="M40" t="s">
        <v>23</v>
      </c>
      <c r="N40" t="s">
        <v>205</v>
      </c>
      <c r="O40" t="s">
        <v>209</v>
      </c>
      <c r="P40">
        <v>42</v>
      </c>
      <c r="Q40">
        <v>1</v>
      </c>
      <c r="R40">
        <v>1266</v>
      </c>
      <c r="S40">
        <v>2320</v>
      </c>
      <c r="T40">
        <v>1054</v>
      </c>
      <c r="U40">
        <f t="shared" si="0"/>
        <v>1266</v>
      </c>
      <c r="V40">
        <f t="shared" si="1"/>
        <v>2320</v>
      </c>
    </row>
    <row r="41" spans="1:22" x14ac:dyDescent="0.25">
      <c r="A41" t="str">
        <v>Sale-140</v>
      </c>
      <c r="B41" t="s">
        <v>74</v>
      </c>
      <c r="C41">
        <v>44542</v>
      </c>
      <c r="D41">
        <v>12</v>
      </c>
      <c r="E41" t="s">
        <v>19</v>
      </c>
      <c r="F41">
        <v>2021</v>
      </c>
      <c r="G41">
        <v>38</v>
      </c>
      <c r="H41" t="s">
        <v>20</v>
      </c>
      <c r="I41" t="s">
        <v>144</v>
      </c>
      <c r="J41" t="s">
        <v>186</v>
      </c>
      <c r="K41" t="s">
        <v>203</v>
      </c>
      <c r="L41" t="s">
        <v>22</v>
      </c>
      <c r="M41" t="s">
        <v>23</v>
      </c>
      <c r="N41" t="s">
        <v>205</v>
      </c>
      <c r="O41" t="s">
        <v>209</v>
      </c>
      <c r="P41">
        <v>42</v>
      </c>
      <c r="Q41">
        <v>1</v>
      </c>
      <c r="R41">
        <v>1266</v>
      </c>
      <c r="S41">
        <v>2320</v>
      </c>
      <c r="T41">
        <v>1054</v>
      </c>
      <c r="U41">
        <f t="shared" si="0"/>
        <v>1266</v>
      </c>
      <c r="V41">
        <f t="shared" si="1"/>
        <v>2320</v>
      </c>
    </row>
    <row r="42" spans="1:22" x14ac:dyDescent="0.25">
      <c r="A42" t="str">
        <v>Sale-141</v>
      </c>
      <c r="B42" t="s">
        <v>75</v>
      </c>
      <c r="C42">
        <v>44543</v>
      </c>
      <c r="D42">
        <v>13</v>
      </c>
      <c r="E42" t="s">
        <v>19</v>
      </c>
      <c r="F42">
        <v>2021</v>
      </c>
      <c r="G42">
        <v>32</v>
      </c>
      <c r="H42" t="s">
        <v>27</v>
      </c>
      <c r="I42" t="s">
        <v>144</v>
      </c>
      <c r="J42" t="s">
        <v>181</v>
      </c>
      <c r="K42" t="s">
        <v>196</v>
      </c>
      <c r="L42" t="s">
        <v>22</v>
      </c>
      <c r="M42" t="s">
        <v>23</v>
      </c>
      <c r="N42" t="s">
        <v>205</v>
      </c>
      <c r="O42" t="s">
        <v>209</v>
      </c>
      <c r="P42">
        <v>42</v>
      </c>
      <c r="Q42">
        <v>3</v>
      </c>
      <c r="R42">
        <v>1266</v>
      </c>
      <c r="S42">
        <v>2320</v>
      </c>
      <c r="T42">
        <v>3162</v>
      </c>
      <c r="U42">
        <f t="shared" si="0"/>
        <v>3798</v>
      </c>
      <c r="V42">
        <f t="shared" si="1"/>
        <v>6960</v>
      </c>
    </row>
    <row r="43" spans="1:22" x14ac:dyDescent="0.25">
      <c r="A43" t="str">
        <v>Sale-142</v>
      </c>
      <c r="B43" t="s">
        <v>76</v>
      </c>
      <c r="C43">
        <v>44543</v>
      </c>
      <c r="D43">
        <v>13</v>
      </c>
      <c r="E43" t="s">
        <v>19</v>
      </c>
      <c r="F43">
        <v>2021</v>
      </c>
      <c r="G43">
        <v>40</v>
      </c>
      <c r="H43" t="s">
        <v>20</v>
      </c>
      <c r="I43" t="s">
        <v>144</v>
      </c>
      <c r="J43" t="s">
        <v>186</v>
      </c>
      <c r="K43" t="s">
        <v>188</v>
      </c>
      <c r="L43" t="s">
        <v>22</v>
      </c>
      <c r="M43" t="s">
        <v>23</v>
      </c>
      <c r="N43" t="s">
        <v>207</v>
      </c>
      <c r="O43" t="s">
        <v>209</v>
      </c>
      <c r="P43">
        <v>40</v>
      </c>
      <c r="Q43">
        <v>1</v>
      </c>
      <c r="R43">
        <v>308</v>
      </c>
      <c r="S43">
        <v>565</v>
      </c>
      <c r="T43">
        <v>257</v>
      </c>
      <c r="U43">
        <f t="shared" si="0"/>
        <v>308</v>
      </c>
      <c r="V43">
        <f t="shared" si="1"/>
        <v>565</v>
      </c>
    </row>
    <row r="44" spans="1:22" x14ac:dyDescent="0.25">
      <c r="A44" t="str">
        <v>Sale-143</v>
      </c>
      <c r="B44" t="s">
        <v>77</v>
      </c>
      <c r="C44">
        <v>44543</v>
      </c>
      <c r="D44">
        <v>13</v>
      </c>
      <c r="E44" t="s">
        <v>19</v>
      </c>
      <c r="F44">
        <v>2021</v>
      </c>
      <c r="G44">
        <v>44</v>
      </c>
      <c r="H44" t="s">
        <v>20</v>
      </c>
      <c r="I44" t="s">
        <v>144</v>
      </c>
      <c r="J44" t="s">
        <v>185</v>
      </c>
      <c r="K44" t="s">
        <v>189</v>
      </c>
      <c r="L44" t="s">
        <v>22</v>
      </c>
      <c r="M44" t="s">
        <v>23</v>
      </c>
      <c r="N44" t="s">
        <v>205</v>
      </c>
      <c r="O44" t="s">
        <v>208</v>
      </c>
      <c r="P44">
        <v>38</v>
      </c>
      <c r="Q44">
        <v>1</v>
      </c>
      <c r="R44">
        <v>1252</v>
      </c>
      <c r="S44">
        <v>2295</v>
      </c>
      <c r="T44">
        <v>1043</v>
      </c>
      <c r="U44">
        <f t="shared" si="0"/>
        <v>1252</v>
      </c>
      <c r="V44">
        <f t="shared" si="1"/>
        <v>2295</v>
      </c>
    </row>
    <row r="45" spans="1:22" x14ac:dyDescent="0.25">
      <c r="A45" t="str">
        <v>Sale-144</v>
      </c>
      <c r="B45" t="s">
        <v>78</v>
      </c>
      <c r="C45">
        <v>44543</v>
      </c>
      <c r="D45">
        <v>13</v>
      </c>
      <c r="E45" t="s">
        <v>19</v>
      </c>
      <c r="F45">
        <v>2021</v>
      </c>
      <c r="G45">
        <v>49</v>
      </c>
      <c r="H45" t="s">
        <v>20</v>
      </c>
      <c r="I45" t="s">
        <v>145</v>
      </c>
      <c r="J45" t="s">
        <v>185</v>
      </c>
      <c r="K45" t="s">
        <v>189</v>
      </c>
      <c r="L45" t="s">
        <v>22</v>
      </c>
      <c r="M45" t="s">
        <v>23</v>
      </c>
      <c r="N45" t="s">
        <v>205</v>
      </c>
      <c r="O45" t="s">
        <v>208</v>
      </c>
      <c r="P45">
        <v>38</v>
      </c>
      <c r="Q45">
        <v>1</v>
      </c>
      <c r="R45">
        <v>1252</v>
      </c>
      <c r="S45">
        <v>2295</v>
      </c>
      <c r="T45">
        <v>1043</v>
      </c>
      <c r="U45">
        <f t="shared" si="0"/>
        <v>1252</v>
      </c>
      <c r="V45">
        <f t="shared" si="1"/>
        <v>2295</v>
      </c>
    </row>
    <row r="46" spans="1:22" x14ac:dyDescent="0.25">
      <c r="A46" t="str">
        <v>Sale-145</v>
      </c>
      <c r="B46" t="s">
        <v>79</v>
      </c>
      <c r="C46">
        <v>44544</v>
      </c>
      <c r="D46">
        <v>14</v>
      </c>
      <c r="E46" t="s">
        <v>19</v>
      </c>
      <c r="F46">
        <v>2021</v>
      </c>
      <c r="G46">
        <v>30</v>
      </c>
      <c r="H46" t="s">
        <v>27</v>
      </c>
      <c r="I46" t="s">
        <v>144</v>
      </c>
      <c r="J46" t="s">
        <v>186</v>
      </c>
      <c r="K46" t="s">
        <v>203</v>
      </c>
      <c r="L46" t="s">
        <v>22</v>
      </c>
      <c r="M46" t="s">
        <v>23</v>
      </c>
      <c r="N46" t="s">
        <v>205</v>
      </c>
      <c r="O46" t="s">
        <v>209</v>
      </c>
      <c r="P46">
        <v>38</v>
      </c>
      <c r="Q46">
        <v>2</v>
      </c>
      <c r="R46">
        <v>1266</v>
      </c>
      <c r="S46">
        <v>2320</v>
      </c>
      <c r="T46">
        <v>2108</v>
      </c>
      <c r="U46">
        <f t="shared" si="0"/>
        <v>2532</v>
      </c>
      <c r="V46">
        <f t="shared" si="1"/>
        <v>4640</v>
      </c>
    </row>
    <row r="47" spans="1:22" x14ac:dyDescent="0.25">
      <c r="A47" t="str">
        <v>Sale-146</v>
      </c>
      <c r="B47" t="s">
        <v>80</v>
      </c>
      <c r="C47">
        <v>44544</v>
      </c>
      <c r="D47">
        <v>14</v>
      </c>
      <c r="E47" t="s">
        <v>19</v>
      </c>
      <c r="F47">
        <v>2021</v>
      </c>
      <c r="G47">
        <v>32</v>
      </c>
      <c r="H47" t="s">
        <v>27</v>
      </c>
      <c r="I47" t="s">
        <v>145</v>
      </c>
      <c r="J47" t="s">
        <v>186</v>
      </c>
      <c r="K47" t="s">
        <v>188</v>
      </c>
      <c r="L47" t="s">
        <v>22</v>
      </c>
      <c r="M47" t="s">
        <v>23</v>
      </c>
      <c r="N47" t="s">
        <v>205</v>
      </c>
      <c r="O47" t="s">
        <v>208</v>
      </c>
      <c r="P47">
        <v>46</v>
      </c>
      <c r="Q47">
        <v>1</v>
      </c>
      <c r="R47">
        <v>1252</v>
      </c>
      <c r="S47">
        <v>2295</v>
      </c>
      <c r="T47">
        <v>1043</v>
      </c>
      <c r="U47">
        <f t="shared" si="0"/>
        <v>1252</v>
      </c>
      <c r="V47">
        <f t="shared" si="1"/>
        <v>2295</v>
      </c>
    </row>
    <row r="48" spans="1:22" x14ac:dyDescent="0.25">
      <c r="A48" t="str">
        <v>Sale-147</v>
      </c>
      <c r="B48" t="s">
        <v>81</v>
      </c>
      <c r="C48">
        <v>44544</v>
      </c>
      <c r="D48">
        <v>14</v>
      </c>
      <c r="E48" t="s">
        <v>19</v>
      </c>
      <c r="F48">
        <v>2021</v>
      </c>
      <c r="G48">
        <v>32</v>
      </c>
      <c r="H48" t="s">
        <v>27</v>
      </c>
      <c r="I48" t="s">
        <v>144</v>
      </c>
      <c r="J48" t="s">
        <v>181</v>
      </c>
      <c r="K48" t="s">
        <v>202</v>
      </c>
      <c r="L48" t="s">
        <v>22</v>
      </c>
      <c r="M48" t="s">
        <v>23</v>
      </c>
      <c r="N48" t="s">
        <v>206</v>
      </c>
      <c r="O48" t="s">
        <v>209</v>
      </c>
      <c r="P48">
        <v>46</v>
      </c>
      <c r="Q48">
        <v>1</v>
      </c>
      <c r="R48">
        <v>420</v>
      </c>
      <c r="S48">
        <v>769</v>
      </c>
      <c r="T48">
        <v>349</v>
      </c>
      <c r="U48">
        <f t="shared" si="0"/>
        <v>420</v>
      </c>
      <c r="V48">
        <f t="shared" si="1"/>
        <v>769</v>
      </c>
    </row>
    <row r="49" spans="1:22" x14ac:dyDescent="0.25">
      <c r="A49" t="str">
        <v>Sale-148</v>
      </c>
      <c r="B49" t="s">
        <v>82</v>
      </c>
      <c r="C49">
        <v>44545</v>
      </c>
      <c r="D49">
        <v>15</v>
      </c>
      <c r="E49" t="s">
        <v>19</v>
      </c>
      <c r="F49">
        <v>2021</v>
      </c>
      <c r="G49">
        <v>29</v>
      </c>
      <c r="H49" t="s">
        <v>27</v>
      </c>
      <c r="I49" t="s">
        <v>144</v>
      </c>
      <c r="J49" t="s">
        <v>186</v>
      </c>
      <c r="K49" t="s">
        <v>188</v>
      </c>
      <c r="L49" t="s">
        <v>22</v>
      </c>
      <c r="M49" t="s">
        <v>23</v>
      </c>
      <c r="N49" t="s">
        <v>205</v>
      </c>
      <c r="O49" t="s">
        <v>209</v>
      </c>
      <c r="P49">
        <v>42</v>
      </c>
      <c r="Q49">
        <v>1</v>
      </c>
      <c r="R49">
        <v>1266</v>
      </c>
      <c r="S49">
        <v>2320</v>
      </c>
      <c r="T49">
        <v>1054</v>
      </c>
      <c r="U49">
        <f t="shared" si="0"/>
        <v>1266</v>
      </c>
      <c r="V49">
        <f t="shared" si="1"/>
        <v>2320</v>
      </c>
    </row>
    <row r="50" spans="1:22" x14ac:dyDescent="0.25">
      <c r="A50" t="str">
        <v>Sale-149</v>
      </c>
      <c r="B50" t="s">
        <v>83</v>
      </c>
      <c r="C50">
        <v>44546</v>
      </c>
      <c r="D50">
        <v>16</v>
      </c>
      <c r="E50" t="s">
        <v>19</v>
      </c>
      <c r="F50">
        <v>2021</v>
      </c>
      <c r="G50">
        <v>33</v>
      </c>
      <c r="H50" t="s">
        <v>27</v>
      </c>
      <c r="I50" t="s">
        <v>144</v>
      </c>
      <c r="J50" t="s">
        <v>181</v>
      </c>
      <c r="K50" t="s">
        <v>192</v>
      </c>
      <c r="L50" t="s">
        <v>22</v>
      </c>
      <c r="M50" t="s">
        <v>23</v>
      </c>
      <c r="N50" t="s">
        <v>205</v>
      </c>
      <c r="O50" t="s">
        <v>208</v>
      </c>
      <c r="P50">
        <v>38</v>
      </c>
      <c r="Q50">
        <v>2</v>
      </c>
      <c r="R50">
        <v>1252</v>
      </c>
      <c r="S50">
        <v>2295</v>
      </c>
      <c r="T50">
        <v>2086</v>
      </c>
      <c r="U50">
        <f t="shared" si="0"/>
        <v>2504</v>
      </c>
      <c r="V50">
        <f t="shared" si="1"/>
        <v>4590</v>
      </c>
    </row>
    <row r="51" spans="1:22" x14ac:dyDescent="0.25">
      <c r="A51" t="str">
        <v>Sale-150</v>
      </c>
      <c r="B51" t="s">
        <v>84</v>
      </c>
      <c r="C51">
        <v>44546</v>
      </c>
      <c r="D51">
        <v>16</v>
      </c>
      <c r="E51" t="s">
        <v>19</v>
      </c>
      <c r="F51">
        <v>2021</v>
      </c>
      <c r="G51">
        <v>38</v>
      </c>
      <c r="H51" t="s">
        <v>20</v>
      </c>
      <c r="I51" t="s">
        <v>145</v>
      </c>
      <c r="J51" t="s">
        <v>181</v>
      </c>
      <c r="K51" t="s">
        <v>192</v>
      </c>
      <c r="L51" t="s">
        <v>22</v>
      </c>
      <c r="M51" t="s">
        <v>23</v>
      </c>
      <c r="N51" t="s">
        <v>205</v>
      </c>
      <c r="O51" t="s">
        <v>208</v>
      </c>
      <c r="P51">
        <v>38</v>
      </c>
      <c r="Q51">
        <v>2</v>
      </c>
      <c r="R51">
        <v>1252</v>
      </c>
      <c r="S51">
        <v>2295</v>
      </c>
      <c r="T51">
        <v>2086</v>
      </c>
      <c r="U51">
        <f t="shared" si="0"/>
        <v>2504</v>
      </c>
      <c r="V51">
        <f t="shared" si="1"/>
        <v>4590</v>
      </c>
    </row>
    <row r="52" spans="1:22" x14ac:dyDescent="0.25">
      <c r="A52" t="str">
        <v>Sale-151</v>
      </c>
      <c r="B52" t="s">
        <v>85</v>
      </c>
      <c r="C52">
        <v>44546</v>
      </c>
      <c r="D52">
        <v>16</v>
      </c>
      <c r="E52" t="s">
        <v>19</v>
      </c>
      <c r="F52">
        <v>2021</v>
      </c>
      <c r="G52">
        <v>27</v>
      </c>
      <c r="H52" t="s">
        <v>27</v>
      </c>
      <c r="I52" t="s">
        <v>144</v>
      </c>
      <c r="J52" t="s">
        <v>183</v>
      </c>
      <c r="K52" t="s">
        <v>198</v>
      </c>
      <c r="L52" t="s">
        <v>22</v>
      </c>
      <c r="M52" t="s">
        <v>23</v>
      </c>
      <c r="N52" t="s">
        <v>205</v>
      </c>
      <c r="O52" t="s">
        <v>209</v>
      </c>
      <c r="P52">
        <v>46</v>
      </c>
      <c r="Q52">
        <v>1</v>
      </c>
      <c r="R52">
        <v>1266</v>
      </c>
      <c r="S52">
        <v>2320</v>
      </c>
      <c r="T52">
        <v>1054</v>
      </c>
      <c r="U52">
        <f t="shared" si="0"/>
        <v>1266</v>
      </c>
      <c r="V52">
        <f t="shared" si="1"/>
        <v>2320</v>
      </c>
    </row>
    <row r="53" spans="1:22" x14ac:dyDescent="0.25">
      <c r="A53" t="str">
        <v>Sale-152</v>
      </c>
      <c r="B53" t="s">
        <v>87</v>
      </c>
      <c r="C53">
        <v>44547</v>
      </c>
      <c r="D53">
        <v>17</v>
      </c>
      <c r="E53" t="s">
        <v>19</v>
      </c>
      <c r="F53">
        <v>2021</v>
      </c>
      <c r="G53">
        <v>37</v>
      </c>
      <c r="H53" t="s">
        <v>20</v>
      </c>
      <c r="I53" t="s">
        <v>144</v>
      </c>
      <c r="J53" t="s">
        <v>186</v>
      </c>
      <c r="K53" t="s">
        <v>203</v>
      </c>
      <c r="L53" t="s">
        <v>22</v>
      </c>
      <c r="M53" t="s">
        <v>23</v>
      </c>
      <c r="N53" t="s">
        <v>205</v>
      </c>
      <c r="O53" t="s">
        <v>209</v>
      </c>
      <c r="P53">
        <v>38</v>
      </c>
      <c r="Q53">
        <v>2</v>
      </c>
      <c r="R53">
        <v>1266</v>
      </c>
      <c r="S53">
        <v>2320</v>
      </c>
      <c r="T53">
        <v>2108</v>
      </c>
      <c r="U53">
        <f t="shared" si="0"/>
        <v>2532</v>
      </c>
      <c r="V53">
        <f t="shared" si="1"/>
        <v>4640</v>
      </c>
    </row>
    <row r="54" spans="1:22" x14ac:dyDescent="0.25">
      <c r="A54" t="str">
        <v>Sale-153</v>
      </c>
      <c r="B54" t="s">
        <v>88</v>
      </c>
      <c r="C54">
        <v>44547</v>
      </c>
      <c r="D54">
        <v>17</v>
      </c>
      <c r="E54" t="s">
        <v>19</v>
      </c>
      <c r="F54">
        <v>2021</v>
      </c>
      <c r="G54">
        <v>31</v>
      </c>
      <c r="H54" t="s">
        <v>27</v>
      </c>
      <c r="I54" t="s">
        <v>145</v>
      </c>
      <c r="J54" t="s">
        <v>181</v>
      </c>
      <c r="K54" t="s">
        <v>192</v>
      </c>
      <c r="L54" t="s">
        <v>22</v>
      </c>
      <c r="M54" t="s">
        <v>23</v>
      </c>
      <c r="N54" t="s">
        <v>206</v>
      </c>
      <c r="O54" t="s">
        <v>209</v>
      </c>
      <c r="P54">
        <v>42</v>
      </c>
      <c r="Q54">
        <v>1</v>
      </c>
      <c r="R54">
        <v>420</v>
      </c>
      <c r="S54">
        <v>769</v>
      </c>
      <c r="T54">
        <v>349</v>
      </c>
      <c r="U54">
        <f t="shared" si="0"/>
        <v>420</v>
      </c>
      <c r="V54">
        <f t="shared" si="1"/>
        <v>769</v>
      </c>
    </row>
    <row r="55" spans="1:22" x14ac:dyDescent="0.25">
      <c r="A55" t="str">
        <v>Sale-154</v>
      </c>
      <c r="B55" t="s">
        <v>89</v>
      </c>
      <c r="C55">
        <v>44547</v>
      </c>
      <c r="D55">
        <v>17</v>
      </c>
      <c r="E55" t="s">
        <v>19</v>
      </c>
      <c r="F55">
        <v>2021</v>
      </c>
      <c r="G55">
        <v>42</v>
      </c>
      <c r="H55" t="s">
        <v>20</v>
      </c>
      <c r="I55" t="s">
        <v>144</v>
      </c>
      <c r="J55" t="s">
        <v>184</v>
      </c>
      <c r="K55" t="s">
        <v>194</v>
      </c>
      <c r="L55" t="s">
        <v>22</v>
      </c>
      <c r="M55" t="s">
        <v>23</v>
      </c>
      <c r="N55" t="s">
        <v>205</v>
      </c>
      <c r="O55" t="s">
        <v>209</v>
      </c>
      <c r="P55">
        <v>46</v>
      </c>
      <c r="Q55">
        <v>1</v>
      </c>
      <c r="R55">
        <v>1266</v>
      </c>
      <c r="S55">
        <v>2320</v>
      </c>
      <c r="T55">
        <v>1054</v>
      </c>
      <c r="U55">
        <f t="shared" si="0"/>
        <v>1266</v>
      </c>
      <c r="V55">
        <f t="shared" si="1"/>
        <v>2320</v>
      </c>
    </row>
    <row r="56" spans="1:22" x14ac:dyDescent="0.25">
      <c r="A56" t="str">
        <v>Sale-155</v>
      </c>
      <c r="B56" t="s">
        <v>90</v>
      </c>
      <c r="C56">
        <v>44548</v>
      </c>
      <c r="D56">
        <v>18</v>
      </c>
      <c r="E56" t="s">
        <v>19</v>
      </c>
      <c r="F56">
        <v>2021</v>
      </c>
      <c r="G56">
        <v>35</v>
      </c>
      <c r="H56" t="s">
        <v>20</v>
      </c>
      <c r="I56" t="s">
        <v>144</v>
      </c>
      <c r="J56" t="s">
        <v>181</v>
      </c>
      <c r="K56" t="s">
        <v>192</v>
      </c>
      <c r="L56" t="s">
        <v>22</v>
      </c>
      <c r="M56" t="s">
        <v>23</v>
      </c>
      <c r="N56" t="s">
        <v>207</v>
      </c>
      <c r="O56" t="s">
        <v>209</v>
      </c>
      <c r="P56">
        <v>42</v>
      </c>
      <c r="Q56">
        <v>4</v>
      </c>
      <c r="R56">
        <v>308</v>
      </c>
      <c r="S56">
        <v>565</v>
      </c>
      <c r="T56">
        <v>1028</v>
      </c>
      <c r="U56">
        <f t="shared" si="0"/>
        <v>1232</v>
      </c>
      <c r="V56">
        <f t="shared" si="1"/>
        <v>2260</v>
      </c>
    </row>
    <row r="57" spans="1:22" x14ac:dyDescent="0.25">
      <c r="A57" t="str">
        <v>Sale-156</v>
      </c>
      <c r="B57" t="s">
        <v>91</v>
      </c>
      <c r="C57">
        <v>44548</v>
      </c>
      <c r="D57">
        <v>18</v>
      </c>
      <c r="E57" t="s">
        <v>19</v>
      </c>
      <c r="F57">
        <v>2021</v>
      </c>
      <c r="G57">
        <v>38</v>
      </c>
      <c r="H57" t="s">
        <v>20</v>
      </c>
      <c r="I57" t="s">
        <v>144</v>
      </c>
      <c r="J57" t="s">
        <v>184</v>
      </c>
      <c r="K57" t="s">
        <v>194</v>
      </c>
      <c r="L57" t="s">
        <v>22</v>
      </c>
      <c r="M57" t="s">
        <v>23</v>
      </c>
      <c r="N57" t="s">
        <v>205</v>
      </c>
      <c r="O57" t="s">
        <v>209</v>
      </c>
      <c r="P57">
        <v>46</v>
      </c>
      <c r="Q57">
        <v>4</v>
      </c>
      <c r="R57">
        <v>1266</v>
      </c>
      <c r="S57">
        <v>2320</v>
      </c>
      <c r="T57">
        <v>4216</v>
      </c>
      <c r="U57">
        <f t="shared" si="0"/>
        <v>5064</v>
      </c>
      <c r="V57">
        <f t="shared" si="1"/>
        <v>9280</v>
      </c>
    </row>
    <row r="58" spans="1:22" x14ac:dyDescent="0.25">
      <c r="A58" t="str">
        <v>Sale-157</v>
      </c>
      <c r="B58" t="s">
        <v>92</v>
      </c>
      <c r="C58">
        <v>44548</v>
      </c>
      <c r="D58">
        <v>18</v>
      </c>
      <c r="E58" t="s">
        <v>19</v>
      </c>
      <c r="F58">
        <v>2021</v>
      </c>
      <c r="G58">
        <v>24</v>
      </c>
      <c r="H58" t="s">
        <v>31</v>
      </c>
      <c r="I58" t="s">
        <v>144</v>
      </c>
      <c r="J58" t="s">
        <v>183</v>
      </c>
      <c r="K58" t="s">
        <v>199</v>
      </c>
      <c r="L58" t="s">
        <v>22</v>
      </c>
      <c r="M58" t="s">
        <v>23</v>
      </c>
      <c r="N58" t="s">
        <v>205</v>
      </c>
      <c r="O58" t="s">
        <v>209</v>
      </c>
      <c r="P58">
        <v>38</v>
      </c>
      <c r="Q58">
        <v>3</v>
      </c>
      <c r="R58">
        <v>1266</v>
      </c>
      <c r="S58">
        <v>2320</v>
      </c>
      <c r="T58">
        <v>3162</v>
      </c>
      <c r="U58">
        <f t="shared" si="0"/>
        <v>3798</v>
      </c>
      <c r="V58">
        <f t="shared" si="1"/>
        <v>6960</v>
      </c>
    </row>
    <row r="59" spans="1:22" x14ac:dyDescent="0.25">
      <c r="A59" t="str">
        <v>Sale-158</v>
      </c>
      <c r="B59" t="s">
        <v>94</v>
      </c>
      <c r="C59">
        <v>44548</v>
      </c>
      <c r="D59">
        <v>18</v>
      </c>
      <c r="E59" t="s">
        <v>19</v>
      </c>
      <c r="F59">
        <v>2021</v>
      </c>
      <c r="G59">
        <v>26</v>
      </c>
      <c r="H59" t="s">
        <v>27</v>
      </c>
      <c r="I59" t="s">
        <v>144</v>
      </c>
      <c r="J59" t="s">
        <v>185</v>
      </c>
      <c r="K59" t="s">
        <v>189</v>
      </c>
      <c r="L59" t="s">
        <v>22</v>
      </c>
      <c r="M59" t="s">
        <v>23</v>
      </c>
      <c r="N59" t="s">
        <v>206</v>
      </c>
      <c r="O59" t="s">
        <v>209</v>
      </c>
      <c r="P59">
        <v>42</v>
      </c>
      <c r="Q59">
        <v>3</v>
      </c>
      <c r="R59">
        <v>420</v>
      </c>
      <c r="S59">
        <v>769</v>
      </c>
      <c r="T59">
        <v>1047</v>
      </c>
      <c r="U59">
        <f t="shared" si="0"/>
        <v>1260</v>
      </c>
      <c r="V59">
        <f t="shared" si="1"/>
        <v>2307</v>
      </c>
    </row>
    <row r="60" spans="1:22" x14ac:dyDescent="0.25">
      <c r="A60" t="str">
        <v>Sale-159</v>
      </c>
      <c r="B60" t="s">
        <v>95</v>
      </c>
      <c r="C60">
        <v>44548</v>
      </c>
      <c r="D60">
        <v>18</v>
      </c>
      <c r="E60" t="s">
        <v>19</v>
      </c>
      <c r="F60">
        <v>2021</v>
      </c>
      <c r="G60">
        <v>39</v>
      </c>
      <c r="H60" t="s">
        <v>20</v>
      </c>
      <c r="I60" t="s">
        <v>145</v>
      </c>
      <c r="J60" t="s">
        <v>186</v>
      </c>
      <c r="K60" t="s">
        <v>188</v>
      </c>
      <c r="L60" t="s">
        <v>22</v>
      </c>
      <c r="M60" t="s">
        <v>23</v>
      </c>
      <c r="N60" t="s">
        <v>205</v>
      </c>
      <c r="O60" t="s">
        <v>208</v>
      </c>
      <c r="P60">
        <v>42</v>
      </c>
      <c r="Q60">
        <v>3</v>
      </c>
      <c r="R60">
        <v>1252</v>
      </c>
      <c r="S60">
        <v>2295</v>
      </c>
      <c r="T60">
        <v>3129</v>
      </c>
      <c r="U60">
        <f t="shared" si="0"/>
        <v>3756</v>
      </c>
      <c r="V60">
        <f t="shared" si="1"/>
        <v>6885</v>
      </c>
    </row>
    <row r="61" spans="1:22" x14ac:dyDescent="0.25">
      <c r="A61" t="str">
        <v>Sale-160</v>
      </c>
      <c r="B61" t="s">
        <v>96</v>
      </c>
      <c r="C61">
        <v>44548</v>
      </c>
      <c r="D61">
        <v>18</v>
      </c>
      <c r="E61" t="s">
        <v>19</v>
      </c>
      <c r="F61">
        <v>2021</v>
      </c>
      <c r="G61">
        <v>26</v>
      </c>
      <c r="H61" t="s">
        <v>27</v>
      </c>
      <c r="I61" t="s">
        <v>145</v>
      </c>
      <c r="J61" t="s">
        <v>183</v>
      </c>
      <c r="K61" t="s">
        <v>197</v>
      </c>
      <c r="L61" t="s">
        <v>22</v>
      </c>
      <c r="M61" t="s">
        <v>23</v>
      </c>
      <c r="N61" t="s">
        <v>205</v>
      </c>
      <c r="O61" t="s">
        <v>208</v>
      </c>
      <c r="P61">
        <v>46</v>
      </c>
      <c r="Q61">
        <v>1</v>
      </c>
      <c r="R61">
        <v>1252</v>
      </c>
      <c r="S61">
        <v>2295</v>
      </c>
      <c r="T61">
        <v>1043</v>
      </c>
      <c r="U61">
        <f t="shared" si="0"/>
        <v>1252</v>
      </c>
      <c r="V61">
        <f t="shared" si="1"/>
        <v>2295</v>
      </c>
    </row>
    <row r="62" spans="1:22" x14ac:dyDescent="0.25">
      <c r="A62" t="str">
        <v>Sale-161</v>
      </c>
      <c r="B62" t="s">
        <v>97</v>
      </c>
      <c r="C62">
        <v>44548</v>
      </c>
      <c r="D62">
        <v>18</v>
      </c>
      <c r="E62" t="s">
        <v>19</v>
      </c>
      <c r="F62">
        <v>2021</v>
      </c>
      <c r="G62">
        <v>36</v>
      </c>
      <c r="H62" t="s">
        <v>20</v>
      </c>
      <c r="I62" t="s">
        <v>145</v>
      </c>
      <c r="J62" t="s">
        <v>186</v>
      </c>
      <c r="K62" t="s">
        <v>203</v>
      </c>
      <c r="L62" t="s">
        <v>22</v>
      </c>
      <c r="M62" t="s">
        <v>23</v>
      </c>
      <c r="N62" t="s">
        <v>205</v>
      </c>
      <c r="O62" t="s">
        <v>209</v>
      </c>
      <c r="P62">
        <v>38</v>
      </c>
      <c r="Q62">
        <v>1</v>
      </c>
      <c r="R62">
        <v>1266</v>
      </c>
      <c r="S62">
        <v>2320</v>
      </c>
      <c r="T62">
        <v>1054</v>
      </c>
      <c r="U62">
        <f t="shared" si="0"/>
        <v>1266</v>
      </c>
      <c r="V62">
        <f t="shared" si="1"/>
        <v>2320</v>
      </c>
    </row>
    <row r="63" spans="1:22" x14ac:dyDescent="0.25">
      <c r="A63" t="str">
        <v>Sale-162</v>
      </c>
      <c r="B63" t="s">
        <v>98</v>
      </c>
      <c r="C63">
        <v>44549</v>
      </c>
      <c r="D63">
        <v>19</v>
      </c>
      <c r="E63" t="s">
        <v>19</v>
      </c>
      <c r="F63">
        <v>2021</v>
      </c>
      <c r="G63">
        <v>17</v>
      </c>
      <c r="H63" t="s">
        <v>31</v>
      </c>
      <c r="I63" t="s">
        <v>145</v>
      </c>
      <c r="J63" t="s">
        <v>183</v>
      </c>
      <c r="K63" t="s">
        <v>193</v>
      </c>
      <c r="L63" t="s">
        <v>22</v>
      </c>
      <c r="M63" t="s">
        <v>23</v>
      </c>
      <c r="N63" t="s">
        <v>205</v>
      </c>
      <c r="O63" t="s">
        <v>209</v>
      </c>
      <c r="P63">
        <v>46</v>
      </c>
      <c r="Q63">
        <v>4</v>
      </c>
      <c r="R63">
        <v>1266</v>
      </c>
      <c r="S63">
        <v>2320</v>
      </c>
      <c r="T63">
        <v>4216</v>
      </c>
      <c r="U63">
        <f t="shared" si="0"/>
        <v>5064</v>
      </c>
      <c r="V63">
        <f t="shared" si="1"/>
        <v>9280</v>
      </c>
    </row>
    <row r="64" spans="1:22" x14ac:dyDescent="0.25">
      <c r="A64" t="str">
        <v>Sale-163</v>
      </c>
      <c r="B64" t="s">
        <v>100</v>
      </c>
      <c r="C64">
        <v>44549</v>
      </c>
      <c r="D64">
        <v>19</v>
      </c>
      <c r="E64" t="s">
        <v>19</v>
      </c>
      <c r="F64">
        <v>2021</v>
      </c>
      <c r="G64">
        <v>19</v>
      </c>
      <c r="H64" t="s">
        <v>31</v>
      </c>
      <c r="I64" t="s">
        <v>144</v>
      </c>
      <c r="J64" t="s">
        <v>181</v>
      </c>
      <c r="K64" t="s">
        <v>202</v>
      </c>
      <c r="L64" t="s">
        <v>22</v>
      </c>
      <c r="M64" t="s">
        <v>23</v>
      </c>
      <c r="N64" t="s">
        <v>207</v>
      </c>
      <c r="O64" t="s">
        <v>208</v>
      </c>
      <c r="P64">
        <v>44</v>
      </c>
      <c r="Q64">
        <v>4</v>
      </c>
      <c r="R64">
        <v>295</v>
      </c>
      <c r="S64">
        <v>540</v>
      </c>
      <c r="T64">
        <v>980</v>
      </c>
      <c r="U64">
        <f t="shared" si="0"/>
        <v>1180</v>
      </c>
      <c r="V64">
        <f t="shared" si="1"/>
        <v>2160</v>
      </c>
    </row>
    <row r="65" spans="1:22" x14ac:dyDescent="0.25">
      <c r="A65" t="str">
        <v>Sale-164</v>
      </c>
      <c r="B65" t="s">
        <v>101</v>
      </c>
      <c r="C65">
        <v>44549</v>
      </c>
      <c r="D65">
        <v>19</v>
      </c>
      <c r="E65" t="s">
        <v>19</v>
      </c>
      <c r="F65">
        <v>2021</v>
      </c>
      <c r="G65">
        <v>25</v>
      </c>
      <c r="H65" t="s">
        <v>27</v>
      </c>
      <c r="I65" t="s">
        <v>145</v>
      </c>
      <c r="J65" t="s">
        <v>183</v>
      </c>
      <c r="K65" t="s">
        <v>197</v>
      </c>
      <c r="L65" t="s">
        <v>22</v>
      </c>
      <c r="M65" t="s">
        <v>23</v>
      </c>
      <c r="N65" t="s">
        <v>205</v>
      </c>
      <c r="O65" t="s">
        <v>208</v>
      </c>
      <c r="P65">
        <v>38</v>
      </c>
      <c r="Q65">
        <v>4</v>
      </c>
      <c r="R65">
        <v>1252</v>
      </c>
      <c r="S65">
        <v>2295</v>
      </c>
      <c r="T65">
        <v>4172</v>
      </c>
      <c r="U65">
        <f t="shared" si="0"/>
        <v>5008</v>
      </c>
      <c r="V65">
        <f t="shared" si="1"/>
        <v>9180</v>
      </c>
    </row>
    <row r="66" spans="1:22" x14ac:dyDescent="0.25">
      <c r="A66" t="str">
        <v>Sale-165</v>
      </c>
      <c r="B66" t="s">
        <v>102</v>
      </c>
      <c r="C66">
        <v>44549</v>
      </c>
      <c r="D66">
        <v>19</v>
      </c>
      <c r="E66" t="s">
        <v>19</v>
      </c>
      <c r="F66">
        <v>2021</v>
      </c>
      <c r="G66">
        <v>35</v>
      </c>
      <c r="H66" t="s">
        <v>20</v>
      </c>
      <c r="I66" t="s">
        <v>144</v>
      </c>
      <c r="J66" t="s">
        <v>186</v>
      </c>
      <c r="K66" t="s">
        <v>195</v>
      </c>
      <c r="L66" t="s">
        <v>22</v>
      </c>
      <c r="M66" t="s">
        <v>23</v>
      </c>
      <c r="N66" t="s">
        <v>204</v>
      </c>
      <c r="O66" t="s">
        <v>208</v>
      </c>
      <c r="P66">
        <v>48</v>
      </c>
      <c r="Q66">
        <v>4</v>
      </c>
      <c r="R66">
        <v>1898</v>
      </c>
      <c r="S66">
        <v>3375</v>
      </c>
      <c r="T66">
        <v>5908</v>
      </c>
      <c r="U66">
        <f t="shared" ref="U66:U89" si="2">Q66*R66</f>
        <v>7592</v>
      </c>
      <c r="V66">
        <f t="shared" ref="V66:V89" si="3">Q66*S66</f>
        <v>13500</v>
      </c>
    </row>
    <row r="67" spans="1:22" x14ac:dyDescent="0.25">
      <c r="A67" t="str">
        <v>Sale-166</v>
      </c>
      <c r="B67" t="s">
        <v>103</v>
      </c>
      <c r="C67">
        <v>44549</v>
      </c>
      <c r="D67">
        <v>19</v>
      </c>
      <c r="E67" t="s">
        <v>19</v>
      </c>
      <c r="F67">
        <v>2021</v>
      </c>
      <c r="G67">
        <v>37</v>
      </c>
      <c r="H67" t="s">
        <v>20</v>
      </c>
      <c r="I67" t="s">
        <v>145</v>
      </c>
      <c r="J67" t="s">
        <v>186</v>
      </c>
      <c r="K67" t="s">
        <v>195</v>
      </c>
      <c r="L67" t="s">
        <v>22</v>
      </c>
      <c r="M67" t="s">
        <v>23</v>
      </c>
      <c r="N67" t="s">
        <v>205</v>
      </c>
      <c r="O67" t="s">
        <v>208</v>
      </c>
      <c r="P67">
        <v>38</v>
      </c>
      <c r="Q67">
        <v>4</v>
      </c>
      <c r="R67">
        <v>1252</v>
      </c>
      <c r="S67">
        <v>2295</v>
      </c>
      <c r="T67">
        <v>4172</v>
      </c>
      <c r="U67">
        <f t="shared" si="2"/>
        <v>5008</v>
      </c>
      <c r="V67">
        <f t="shared" si="3"/>
        <v>9180</v>
      </c>
    </row>
    <row r="68" spans="1:22" x14ac:dyDescent="0.25">
      <c r="A68" t="str">
        <v>Sale-167</v>
      </c>
      <c r="B68" t="s">
        <v>104</v>
      </c>
      <c r="C68">
        <v>44549</v>
      </c>
      <c r="D68">
        <v>19</v>
      </c>
      <c r="E68" t="s">
        <v>19</v>
      </c>
      <c r="F68">
        <v>2021</v>
      </c>
      <c r="G68">
        <v>39</v>
      </c>
      <c r="H68" t="s">
        <v>20</v>
      </c>
      <c r="I68" t="s">
        <v>144</v>
      </c>
      <c r="J68" t="s">
        <v>186</v>
      </c>
      <c r="K68" t="s">
        <v>188</v>
      </c>
      <c r="L68" t="s">
        <v>22</v>
      </c>
      <c r="M68" t="s">
        <v>23</v>
      </c>
      <c r="N68" t="s">
        <v>205</v>
      </c>
      <c r="O68" t="s">
        <v>208</v>
      </c>
      <c r="P68">
        <v>46</v>
      </c>
      <c r="Q68">
        <v>4</v>
      </c>
      <c r="R68">
        <v>1252</v>
      </c>
      <c r="S68">
        <v>2295</v>
      </c>
      <c r="T68">
        <v>4172</v>
      </c>
      <c r="U68">
        <f t="shared" si="2"/>
        <v>5008</v>
      </c>
      <c r="V68">
        <f t="shared" si="3"/>
        <v>9180</v>
      </c>
    </row>
    <row r="69" spans="1:22" x14ac:dyDescent="0.25">
      <c r="A69" t="str">
        <v>Sale-168</v>
      </c>
      <c r="B69" t="s">
        <v>105</v>
      </c>
      <c r="C69">
        <v>44549</v>
      </c>
      <c r="D69">
        <v>19</v>
      </c>
      <c r="E69" t="s">
        <v>19</v>
      </c>
      <c r="F69">
        <v>2021</v>
      </c>
      <c r="G69">
        <v>63</v>
      </c>
      <c r="H69" t="s">
        <v>20</v>
      </c>
      <c r="I69" t="s">
        <v>144</v>
      </c>
      <c r="J69" t="s">
        <v>181</v>
      </c>
      <c r="K69" t="s">
        <v>196</v>
      </c>
      <c r="L69" t="s">
        <v>22</v>
      </c>
      <c r="M69" t="s">
        <v>23</v>
      </c>
      <c r="N69" t="s">
        <v>205</v>
      </c>
      <c r="O69" t="s">
        <v>208</v>
      </c>
      <c r="P69">
        <v>46</v>
      </c>
      <c r="Q69">
        <v>4</v>
      </c>
      <c r="R69">
        <v>1252</v>
      </c>
      <c r="S69">
        <v>2295</v>
      </c>
      <c r="T69">
        <v>4172</v>
      </c>
      <c r="U69">
        <f t="shared" si="2"/>
        <v>5008</v>
      </c>
      <c r="V69">
        <f t="shared" si="3"/>
        <v>9180</v>
      </c>
    </row>
    <row r="70" spans="1:22" x14ac:dyDescent="0.25">
      <c r="A70" t="str">
        <v>Sale-169</v>
      </c>
      <c r="B70" t="s">
        <v>106</v>
      </c>
      <c r="C70">
        <v>44549</v>
      </c>
      <c r="D70">
        <v>19</v>
      </c>
      <c r="E70" t="s">
        <v>19</v>
      </c>
      <c r="F70">
        <v>2021</v>
      </c>
      <c r="G70">
        <v>18</v>
      </c>
      <c r="H70" t="s">
        <v>31</v>
      </c>
      <c r="I70" t="s">
        <v>145</v>
      </c>
      <c r="J70" t="s">
        <v>181</v>
      </c>
      <c r="K70" t="s">
        <v>201</v>
      </c>
      <c r="L70" t="s">
        <v>22</v>
      </c>
      <c r="M70" t="s">
        <v>23</v>
      </c>
      <c r="N70" t="s">
        <v>207</v>
      </c>
      <c r="O70" t="s">
        <v>208</v>
      </c>
      <c r="P70">
        <v>40</v>
      </c>
      <c r="Q70">
        <v>2</v>
      </c>
      <c r="R70">
        <v>295</v>
      </c>
      <c r="S70">
        <v>540</v>
      </c>
      <c r="T70">
        <v>490</v>
      </c>
      <c r="U70">
        <f t="shared" si="2"/>
        <v>590</v>
      </c>
      <c r="V70">
        <f t="shared" si="3"/>
        <v>1080</v>
      </c>
    </row>
    <row r="71" spans="1:22" x14ac:dyDescent="0.25">
      <c r="A71" t="str">
        <v>Sale-170</v>
      </c>
      <c r="B71" t="s">
        <v>108</v>
      </c>
      <c r="C71">
        <v>44549</v>
      </c>
      <c r="D71">
        <v>19</v>
      </c>
      <c r="E71" t="s">
        <v>19</v>
      </c>
      <c r="F71">
        <v>2021</v>
      </c>
      <c r="G71">
        <v>56</v>
      </c>
      <c r="H71" t="s">
        <v>20</v>
      </c>
      <c r="I71" t="s">
        <v>144</v>
      </c>
      <c r="J71" t="s">
        <v>184</v>
      </c>
      <c r="K71" t="s">
        <v>191</v>
      </c>
      <c r="L71" t="s">
        <v>22</v>
      </c>
      <c r="M71" t="s">
        <v>23</v>
      </c>
      <c r="N71" t="s">
        <v>205</v>
      </c>
      <c r="O71" t="s">
        <v>208</v>
      </c>
      <c r="P71">
        <v>46</v>
      </c>
      <c r="Q71">
        <v>2</v>
      </c>
      <c r="R71">
        <v>1252</v>
      </c>
      <c r="S71">
        <v>2295</v>
      </c>
      <c r="T71">
        <v>2086</v>
      </c>
      <c r="U71">
        <f t="shared" si="2"/>
        <v>2504</v>
      </c>
      <c r="V71">
        <f t="shared" si="3"/>
        <v>4590</v>
      </c>
    </row>
    <row r="72" spans="1:22" x14ac:dyDescent="0.25">
      <c r="A72" t="str">
        <v>Sale-171</v>
      </c>
      <c r="B72" t="s">
        <v>110</v>
      </c>
      <c r="C72">
        <v>44549</v>
      </c>
      <c r="D72">
        <v>19</v>
      </c>
      <c r="E72" t="s">
        <v>19</v>
      </c>
      <c r="F72">
        <v>2021</v>
      </c>
      <c r="G72">
        <v>39</v>
      </c>
      <c r="H72" t="s">
        <v>20</v>
      </c>
      <c r="I72" t="s">
        <v>144</v>
      </c>
      <c r="J72" t="s">
        <v>186</v>
      </c>
      <c r="K72" t="s">
        <v>203</v>
      </c>
      <c r="L72" t="s">
        <v>22</v>
      </c>
      <c r="M72" t="s">
        <v>23</v>
      </c>
      <c r="N72" t="s">
        <v>205</v>
      </c>
      <c r="O72" t="s">
        <v>209</v>
      </c>
      <c r="P72">
        <v>38</v>
      </c>
      <c r="Q72">
        <v>1</v>
      </c>
      <c r="R72">
        <v>1266</v>
      </c>
      <c r="S72">
        <v>2320</v>
      </c>
      <c r="T72">
        <v>1054</v>
      </c>
      <c r="U72">
        <f t="shared" si="2"/>
        <v>1266</v>
      </c>
      <c r="V72">
        <f t="shared" si="3"/>
        <v>2320</v>
      </c>
    </row>
    <row r="73" spans="1:22" x14ac:dyDescent="0.25">
      <c r="A73" t="str">
        <v>Sale-172</v>
      </c>
      <c r="B73" t="s">
        <v>111</v>
      </c>
      <c r="C73">
        <v>44550</v>
      </c>
      <c r="D73">
        <v>20</v>
      </c>
      <c r="E73" t="s">
        <v>19</v>
      </c>
      <c r="F73">
        <v>2021</v>
      </c>
      <c r="G73">
        <v>33</v>
      </c>
      <c r="H73" t="s">
        <v>27</v>
      </c>
      <c r="I73" t="s">
        <v>144</v>
      </c>
      <c r="J73" t="s">
        <v>181</v>
      </c>
      <c r="K73" t="s">
        <v>202</v>
      </c>
      <c r="L73" t="s">
        <v>22</v>
      </c>
      <c r="M73" t="s">
        <v>23</v>
      </c>
      <c r="N73" t="s">
        <v>204</v>
      </c>
      <c r="O73" t="s">
        <v>208</v>
      </c>
      <c r="P73">
        <v>38</v>
      </c>
      <c r="Q73">
        <v>4</v>
      </c>
      <c r="R73">
        <v>1898</v>
      </c>
      <c r="S73">
        <v>3375</v>
      </c>
      <c r="T73">
        <v>5908</v>
      </c>
      <c r="U73">
        <f t="shared" si="2"/>
        <v>7592</v>
      </c>
      <c r="V73">
        <f t="shared" si="3"/>
        <v>13500</v>
      </c>
    </row>
    <row r="74" spans="1:22" x14ac:dyDescent="0.25">
      <c r="A74" t="str">
        <v>Sale-173</v>
      </c>
      <c r="B74" t="s">
        <v>112</v>
      </c>
      <c r="C74">
        <v>44550</v>
      </c>
      <c r="D74">
        <v>20</v>
      </c>
      <c r="E74" t="s">
        <v>19</v>
      </c>
      <c r="F74">
        <v>2021</v>
      </c>
      <c r="G74">
        <v>57</v>
      </c>
      <c r="H74" t="s">
        <v>20</v>
      </c>
      <c r="I74" t="s">
        <v>145</v>
      </c>
      <c r="J74" t="s">
        <v>181</v>
      </c>
      <c r="K74" t="s">
        <v>196</v>
      </c>
      <c r="L74" t="s">
        <v>22</v>
      </c>
      <c r="M74" t="s">
        <v>23</v>
      </c>
      <c r="N74" t="s">
        <v>205</v>
      </c>
      <c r="O74" t="s">
        <v>208</v>
      </c>
      <c r="P74">
        <v>46</v>
      </c>
      <c r="Q74">
        <v>4</v>
      </c>
      <c r="R74">
        <v>1252</v>
      </c>
      <c r="S74">
        <v>2295</v>
      </c>
      <c r="T74">
        <v>4172</v>
      </c>
      <c r="U74">
        <f t="shared" si="2"/>
        <v>5008</v>
      </c>
      <c r="V74">
        <f t="shared" si="3"/>
        <v>9180</v>
      </c>
    </row>
    <row r="75" spans="1:22" x14ac:dyDescent="0.25">
      <c r="A75" t="str">
        <v>Sale-174</v>
      </c>
      <c r="B75" t="s">
        <v>113</v>
      </c>
      <c r="C75">
        <v>44550</v>
      </c>
      <c r="D75">
        <v>20</v>
      </c>
      <c r="E75" t="s">
        <v>19</v>
      </c>
      <c r="F75">
        <v>2021</v>
      </c>
      <c r="G75">
        <v>29</v>
      </c>
      <c r="H75" t="s">
        <v>27</v>
      </c>
      <c r="I75" t="s">
        <v>145</v>
      </c>
      <c r="J75" t="s">
        <v>182</v>
      </c>
      <c r="K75" t="s">
        <v>187</v>
      </c>
      <c r="L75" t="s">
        <v>22</v>
      </c>
      <c r="M75" t="s">
        <v>23</v>
      </c>
      <c r="N75" t="s">
        <v>207</v>
      </c>
      <c r="O75" t="s">
        <v>208</v>
      </c>
      <c r="P75">
        <v>52</v>
      </c>
      <c r="Q75">
        <v>3</v>
      </c>
      <c r="R75">
        <v>295</v>
      </c>
      <c r="S75">
        <v>540</v>
      </c>
      <c r="T75">
        <v>735</v>
      </c>
      <c r="U75">
        <f t="shared" si="2"/>
        <v>885</v>
      </c>
      <c r="V75">
        <f t="shared" si="3"/>
        <v>1620</v>
      </c>
    </row>
    <row r="76" spans="1:22" x14ac:dyDescent="0.25">
      <c r="A76" t="str">
        <v>Sale-175</v>
      </c>
      <c r="B76" t="s">
        <v>114</v>
      </c>
      <c r="C76">
        <v>44550</v>
      </c>
      <c r="D76">
        <v>20</v>
      </c>
      <c r="E76" t="s">
        <v>19</v>
      </c>
      <c r="F76">
        <v>2021</v>
      </c>
      <c r="G76">
        <v>35</v>
      </c>
      <c r="H76" t="s">
        <v>20</v>
      </c>
      <c r="I76" t="s">
        <v>144</v>
      </c>
      <c r="J76" t="s">
        <v>181</v>
      </c>
      <c r="K76" t="s">
        <v>196</v>
      </c>
      <c r="L76" t="s">
        <v>22</v>
      </c>
      <c r="M76" t="s">
        <v>23</v>
      </c>
      <c r="N76" t="s">
        <v>205</v>
      </c>
      <c r="O76" t="s">
        <v>209</v>
      </c>
      <c r="P76">
        <v>38</v>
      </c>
      <c r="Q76">
        <v>1</v>
      </c>
      <c r="R76">
        <v>1266</v>
      </c>
      <c r="S76">
        <v>2320</v>
      </c>
      <c r="T76">
        <v>1054</v>
      </c>
      <c r="U76">
        <f t="shared" si="2"/>
        <v>1266</v>
      </c>
      <c r="V76">
        <f t="shared" si="3"/>
        <v>2320</v>
      </c>
    </row>
    <row r="77" spans="1:22" x14ac:dyDescent="0.25">
      <c r="A77" t="str">
        <v>Sale-176</v>
      </c>
      <c r="B77" t="s">
        <v>115</v>
      </c>
      <c r="C77">
        <v>44550</v>
      </c>
      <c r="D77">
        <v>20</v>
      </c>
      <c r="E77" t="s">
        <v>19</v>
      </c>
      <c r="F77">
        <v>2021</v>
      </c>
      <c r="G77">
        <v>35</v>
      </c>
      <c r="H77" t="s">
        <v>20</v>
      </c>
      <c r="I77" t="s">
        <v>145</v>
      </c>
      <c r="J77" t="s">
        <v>181</v>
      </c>
      <c r="K77" t="s">
        <v>202</v>
      </c>
      <c r="L77" t="s">
        <v>22</v>
      </c>
      <c r="M77" t="s">
        <v>23</v>
      </c>
      <c r="N77" t="s">
        <v>205</v>
      </c>
      <c r="O77" t="s">
        <v>209</v>
      </c>
      <c r="P77">
        <v>38</v>
      </c>
      <c r="Q77">
        <v>1</v>
      </c>
      <c r="R77">
        <v>1266</v>
      </c>
      <c r="S77">
        <v>2320</v>
      </c>
      <c r="T77">
        <v>1054</v>
      </c>
      <c r="U77">
        <f t="shared" si="2"/>
        <v>1266</v>
      </c>
      <c r="V77">
        <f t="shared" si="3"/>
        <v>2320</v>
      </c>
    </row>
    <row r="78" spans="1:22" x14ac:dyDescent="0.25">
      <c r="A78" t="str">
        <v>Sale-177</v>
      </c>
      <c r="B78" t="s">
        <v>116</v>
      </c>
      <c r="C78">
        <v>44551</v>
      </c>
      <c r="D78">
        <v>21</v>
      </c>
      <c r="E78" t="s">
        <v>19</v>
      </c>
      <c r="F78">
        <v>2021</v>
      </c>
      <c r="G78">
        <v>26</v>
      </c>
      <c r="H78" t="s">
        <v>27</v>
      </c>
      <c r="I78" t="s">
        <v>145</v>
      </c>
      <c r="J78" t="s">
        <v>183</v>
      </c>
      <c r="K78" t="s">
        <v>200</v>
      </c>
      <c r="L78" t="s">
        <v>22</v>
      </c>
      <c r="M78" t="s">
        <v>23</v>
      </c>
      <c r="N78" t="s">
        <v>205</v>
      </c>
      <c r="O78" t="s">
        <v>209</v>
      </c>
      <c r="P78">
        <v>38</v>
      </c>
      <c r="Q78">
        <v>3</v>
      </c>
      <c r="R78">
        <v>1266</v>
      </c>
      <c r="S78">
        <v>2320</v>
      </c>
      <c r="T78">
        <v>3162</v>
      </c>
      <c r="U78">
        <f t="shared" si="2"/>
        <v>3798</v>
      </c>
      <c r="V78">
        <f t="shared" si="3"/>
        <v>6960</v>
      </c>
    </row>
    <row r="79" spans="1:22" x14ac:dyDescent="0.25">
      <c r="A79" t="str">
        <v>Sale-178</v>
      </c>
      <c r="B79" t="s">
        <v>118</v>
      </c>
      <c r="C79">
        <v>44551</v>
      </c>
      <c r="D79">
        <v>21</v>
      </c>
      <c r="E79" t="s">
        <v>19</v>
      </c>
      <c r="F79">
        <v>2021</v>
      </c>
      <c r="G79">
        <v>23</v>
      </c>
      <c r="H79" t="s">
        <v>31</v>
      </c>
      <c r="I79" t="s">
        <v>145</v>
      </c>
      <c r="J79" t="s">
        <v>185</v>
      </c>
      <c r="K79" t="s">
        <v>189</v>
      </c>
      <c r="L79" t="s">
        <v>22</v>
      </c>
      <c r="M79" t="s">
        <v>23</v>
      </c>
      <c r="N79" t="s">
        <v>206</v>
      </c>
      <c r="O79" t="s">
        <v>209</v>
      </c>
      <c r="P79">
        <v>46</v>
      </c>
      <c r="Q79">
        <v>2</v>
      </c>
      <c r="R79">
        <v>420</v>
      </c>
      <c r="S79">
        <v>769</v>
      </c>
      <c r="T79">
        <v>698</v>
      </c>
      <c r="U79">
        <f t="shared" si="2"/>
        <v>840</v>
      </c>
      <c r="V79">
        <f t="shared" si="3"/>
        <v>1538</v>
      </c>
    </row>
    <row r="80" spans="1:22" x14ac:dyDescent="0.25">
      <c r="A80" t="str">
        <v>Sale-179</v>
      </c>
      <c r="B80" t="s">
        <v>119</v>
      </c>
      <c r="C80">
        <v>44552</v>
      </c>
      <c r="D80">
        <v>22</v>
      </c>
      <c r="E80" t="s">
        <v>19</v>
      </c>
      <c r="F80">
        <v>2021</v>
      </c>
      <c r="G80">
        <v>30</v>
      </c>
      <c r="H80" t="s">
        <v>27</v>
      </c>
      <c r="I80" t="s">
        <v>144</v>
      </c>
      <c r="J80" t="s">
        <v>186</v>
      </c>
      <c r="K80" t="s">
        <v>203</v>
      </c>
      <c r="L80" t="s">
        <v>22</v>
      </c>
      <c r="M80" t="s">
        <v>23</v>
      </c>
      <c r="N80" t="s">
        <v>205</v>
      </c>
      <c r="O80" t="s">
        <v>209</v>
      </c>
      <c r="P80">
        <v>38</v>
      </c>
      <c r="Q80">
        <v>3</v>
      </c>
      <c r="R80">
        <v>1266</v>
      </c>
      <c r="S80">
        <v>2320</v>
      </c>
      <c r="T80">
        <v>3162</v>
      </c>
      <c r="U80">
        <f t="shared" si="2"/>
        <v>3798</v>
      </c>
      <c r="V80">
        <f t="shared" si="3"/>
        <v>6960</v>
      </c>
    </row>
    <row r="81" spans="1:22" x14ac:dyDescent="0.25">
      <c r="A81" t="str">
        <v>Sale-180</v>
      </c>
      <c r="B81" t="s">
        <v>120</v>
      </c>
      <c r="C81">
        <v>44552</v>
      </c>
      <c r="D81">
        <v>22</v>
      </c>
      <c r="E81" t="s">
        <v>19</v>
      </c>
      <c r="F81">
        <v>2021</v>
      </c>
      <c r="G81">
        <v>41</v>
      </c>
      <c r="H81" t="s">
        <v>20</v>
      </c>
      <c r="I81" t="s">
        <v>145</v>
      </c>
      <c r="J81" t="s">
        <v>186</v>
      </c>
      <c r="K81" t="s">
        <v>188</v>
      </c>
      <c r="L81" t="s">
        <v>22</v>
      </c>
      <c r="M81" t="s">
        <v>23</v>
      </c>
      <c r="N81" t="s">
        <v>205</v>
      </c>
      <c r="O81" t="s">
        <v>208</v>
      </c>
      <c r="P81">
        <v>42</v>
      </c>
      <c r="Q81">
        <v>3</v>
      </c>
      <c r="R81">
        <v>1252</v>
      </c>
      <c r="S81">
        <v>2295</v>
      </c>
      <c r="T81">
        <v>3129</v>
      </c>
      <c r="U81">
        <f t="shared" si="2"/>
        <v>3756</v>
      </c>
      <c r="V81">
        <f t="shared" si="3"/>
        <v>6885</v>
      </c>
    </row>
    <row r="82" spans="1:22" x14ac:dyDescent="0.25">
      <c r="A82" t="str">
        <v>Sale-181</v>
      </c>
      <c r="B82" t="s">
        <v>121</v>
      </c>
      <c r="C82">
        <v>44552</v>
      </c>
      <c r="D82">
        <v>22</v>
      </c>
      <c r="E82" t="s">
        <v>19</v>
      </c>
      <c r="F82">
        <v>2021</v>
      </c>
      <c r="G82">
        <v>19</v>
      </c>
      <c r="H82" t="s">
        <v>31</v>
      </c>
      <c r="I82" t="s">
        <v>144</v>
      </c>
      <c r="J82" t="s">
        <v>181</v>
      </c>
      <c r="K82" t="s">
        <v>192</v>
      </c>
      <c r="L82" t="s">
        <v>22</v>
      </c>
      <c r="M82" t="s">
        <v>23</v>
      </c>
      <c r="N82" t="s">
        <v>207</v>
      </c>
      <c r="O82" t="s">
        <v>209</v>
      </c>
      <c r="P82">
        <v>42</v>
      </c>
      <c r="Q82">
        <v>1</v>
      </c>
      <c r="R82">
        <v>308</v>
      </c>
      <c r="S82">
        <v>565</v>
      </c>
      <c r="T82">
        <v>257</v>
      </c>
      <c r="U82">
        <f t="shared" si="2"/>
        <v>308</v>
      </c>
      <c r="V82">
        <f t="shared" si="3"/>
        <v>565</v>
      </c>
    </row>
    <row r="83" spans="1:22" x14ac:dyDescent="0.25">
      <c r="A83" t="str">
        <v>Sale-182</v>
      </c>
      <c r="B83" t="s">
        <v>122</v>
      </c>
      <c r="C83">
        <v>44552</v>
      </c>
      <c r="D83">
        <v>22</v>
      </c>
      <c r="E83" t="s">
        <v>19</v>
      </c>
      <c r="F83">
        <v>2021</v>
      </c>
      <c r="G83">
        <v>25</v>
      </c>
      <c r="H83" t="s">
        <v>27</v>
      </c>
      <c r="I83" t="s">
        <v>145</v>
      </c>
      <c r="J83" t="s">
        <v>183</v>
      </c>
      <c r="K83" t="s">
        <v>197</v>
      </c>
      <c r="L83" t="s">
        <v>22</v>
      </c>
      <c r="M83" t="s">
        <v>23</v>
      </c>
      <c r="N83" t="s">
        <v>205</v>
      </c>
      <c r="O83" t="s">
        <v>208</v>
      </c>
      <c r="P83">
        <v>38</v>
      </c>
      <c r="Q83">
        <v>1</v>
      </c>
      <c r="R83">
        <v>1252</v>
      </c>
      <c r="S83">
        <v>2295</v>
      </c>
      <c r="T83">
        <v>1043</v>
      </c>
      <c r="U83">
        <f t="shared" si="2"/>
        <v>1252</v>
      </c>
      <c r="V83">
        <f t="shared" si="3"/>
        <v>2295</v>
      </c>
    </row>
    <row r="84" spans="1:22" x14ac:dyDescent="0.25">
      <c r="A84" t="str">
        <v>Sale-183</v>
      </c>
      <c r="B84" t="s">
        <v>123</v>
      </c>
      <c r="C84">
        <v>44552</v>
      </c>
      <c r="D84">
        <v>22</v>
      </c>
      <c r="E84" t="s">
        <v>19</v>
      </c>
      <c r="F84">
        <v>2021</v>
      </c>
      <c r="G84">
        <v>27</v>
      </c>
      <c r="H84" t="s">
        <v>27</v>
      </c>
      <c r="I84" t="s">
        <v>144</v>
      </c>
      <c r="J84" t="s">
        <v>182</v>
      </c>
      <c r="K84" t="s">
        <v>187</v>
      </c>
      <c r="L84" t="s">
        <v>22</v>
      </c>
      <c r="M84" t="s">
        <v>23</v>
      </c>
      <c r="N84" t="s">
        <v>205</v>
      </c>
      <c r="O84" t="s">
        <v>208</v>
      </c>
      <c r="P84">
        <v>46</v>
      </c>
      <c r="Q84">
        <v>1</v>
      </c>
      <c r="R84">
        <v>1252</v>
      </c>
      <c r="S84">
        <v>2295</v>
      </c>
      <c r="T84">
        <v>1043</v>
      </c>
      <c r="U84">
        <f t="shared" si="2"/>
        <v>1252</v>
      </c>
      <c r="V84">
        <f t="shared" si="3"/>
        <v>2295</v>
      </c>
    </row>
    <row r="85" spans="1:22" x14ac:dyDescent="0.25">
      <c r="A85" t="str">
        <v>Sale-184</v>
      </c>
      <c r="B85" t="s">
        <v>124</v>
      </c>
      <c r="C85">
        <v>44552</v>
      </c>
      <c r="D85">
        <v>22</v>
      </c>
      <c r="E85" t="s">
        <v>19</v>
      </c>
      <c r="F85">
        <v>2021</v>
      </c>
      <c r="G85">
        <v>41</v>
      </c>
      <c r="H85" t="s">
        <v>20</v>
      </c>
      <c r="I85" t="s">
        <v>145</v>
      </c>
      <c r="J85" t="s">
        <v>184</v>
      </c>
      <c r="K85" t="s">
        <v>191</v>
      </c>
      <c r="L85" t="s">
        <v>22</v>
      </c>
      <c r="M85" t="s">
        <v>23</v>
      </c>
      <c r="N85" t="s">
        <v>205</v>
      </c>
      <c r="O85" t="s">
        <v>209</v>
      </c>
      <c r="P85">
        <v>38</v>
      </c>
      <c r="Q85">
        <v>1</v>
      </c>
      <c r="R85">
        <v>1266</v>
      </c>
      <c r="S85">
        <v>2320</v>
      </c>
      <c r="T85">
        <v>1054</v>
      </c>
      <c r="U85">
        <f t="shared" si="2"/>
        <v>1266</v>
      </c>
      <c r="V85">
        <f t="shared" si="3"/>
        <v>2320</v>
      </c>
    </row>
    <row r="86" spans="1:22" x14ac:dyDescent="0.25">
      <c r="A86" t="str">
        <v>Sale-185</v>
      </c>
      <c r="B86" t="s">
        <v>125</v>
      </c>
      <c r="C86">
        <v>44553</v>
      </c>
      <c r="D86">
        <v>23</v>
      </c>
      <c r="E86" t="s">
        <v>19</v>
      </c>
      <c r="F86">
        <v>2021</v>
      </c>
      <c r="G86">
        <v>30</v>
      </c>
      <c r="H86" t="s">
        <v>27</v>
      </c>
      <c r="I86" t="s">
        <v>144</v>
      </c>
      <c r="J86" t="s">
        <v>186</v>
      </c>
      <c r="K86" t="s">
        <v>195</v>
      </c>
      <c r="L86" t="s">
        <v>22</v>
      </c>
      <c r="M86" t="s">
        <v>23</v>
      </c>
      <c r="N86" t="s">
        <v>205</v>
      </c>
      <c r="O86" t="s">
        <v>209</v>
      </c>
      <c r="P86">
        <v>42</v>
      </c>
      <c r="Q86">
        <v>1</v>
      </c>
      <c r="R86">
        <v>1266</v>
      </c>
      <c r="S86">
        <v>2320</v>
      </c>
      <c r="T86">
        <v>1054</v>
      </c>
      <c r="U86">
        <f t="shared" si="2"/>
        <v>1266</v>
      </c>
      <c r="V86">
        <f t="shared" si="3"/>
        <v>2320</v>
      </c>
    </row>
    <row r="87" spans="1:22" x14ac:dyDescent="0.25">
      <c r="A87" t="str">
        <v>Sale-186</v>
      </c>
      <c r="B87" t="s">
        <v>126</v>
      </c>
      <c r="C87">
        <v>44553</v>
      </c>
      <c r="D87">
        <v>23</v>
      </c>
      <c r="E87" t="s">
        <v>19</v>
      </c>
      <c r="F87">
        <v>2021</v>
      </c>
      <c r="G87">
        <v>31</v>
      </c>
      <c r="H87" t="s">
        <v>27</v>
      </c>
      <c r="I87" t="s">
        <v>144</v>
      </c>
      <c r="J87" t="s">
        <v>182</v>
      </c>
      <c r="K87" t="s">
        <v>187</v>
      </c>
      <c r="L87" t="s">
        <v>22</v>
      </c>
      <c r="M87" t="s">
        <v>23</v>
      </c>
      <c r="N87" t="s">
        <v>205</v>
      </c>
      <c r="O87" t="s">
        <v>208</v>
      </c>
      <c r="P87">
        <v>42</v>
      </c>
      <c r="Q87">
        <v>1</v>
      </c>
      <c r="R87">
        <v>1252</v>
      </c>
      <c r="S87">
        <v>2295</v>
      </c>
      <c r="T87">
        <v>1043</v>
      </c>
      <c r="U87">
        <f t="shared" si="2"/>
        <v>1252</v>
      </c>
      <c r="V87">
        <f t="shared" si="3"/>
        <v>2295</v>
      </c>
    </row>
    <row r="88" spans="1:22" x14ac:dyDescent="0.25">
      <c r="A88" t="str">
        <v>Sale-187</v>
      </c>
      <c r="B88" t="s">
        <v>127</v>
      </c>
      <c r="C88">
        <v>44553</v>
      </c>
      <c r="D88">
        <v>23</v>
      </c>
      <c r="E88" t="s">
        <v>19</v>
      </c>
      <c r="F88">
        <v>2021</v>
      </c>
      <c r="G88">
        <v>35</v>
      </c>
      <c r="H88" t="s">
        <v>20</v>
      </c>
      <c r="I88" t="s">
        <v>144</v>
      </c>
      <c r="J88" t="s">
        <v>186</v>
      </c>
      <c r="K88" t="s">
        <v>188</v>
      </c>
      <c r="L88" t="s">
        <v>22</v>
      </c>
      <c r="M88" t="s">
        <v>23</v>
      </c>
      <c r="N88" t="s">
        <v>207</v>
      </c>
      <c r="O88" t="s">
        <v>208</v>
      </c>
      <c r="P88">
        <v>42</v>
      </c>
      <c r="Q88">
        <v>1</v>
      </c>
      <c r="R88">
        <v>295</v>
      </c>
      <c r="S88">
        <v>540</v>
      </c>
      <c r="T88">
        <v>245</v>
      </c>
      <c r="U88">
        <f t="shared" si="2"/>
        <v>295</v>
      </c>
      <c r="V88">
        <f t="shared" si="3"/>
        <v>540</v>
      </c>
    </row>
    <row r="89" spans="1:22" x14ac:dyDescent="0.25">
      <c r="A89" t="str">
        <v>Sale-188</v>
      </c>
      <c r="B89" t="s">
        <v>128</v>
      </c>
      <c r="C89">
        <v>44554</v>
      </c>
      <c r="D89">
        <v>24</v>
      </c>
      <c r="E89" t="s">
        <v>19</v>
      </c>
      <c r="F89">
        <v>2021</v>
      </c>
      <c r="G89">
        <v>38</v>
      </c>
      <c r="H89" t="s">
        <v>20</v>
      </c>
      <c r="I89" t="s">
        <v>145</v>
      </c>
      <c r="J89" t="s">
        <v>181</v>
      </c>
      <c r="K89" t="s">
        <v>196</v>
      </c>
      <c r="L89" t="s">
        <v>22</v>
      </c>
      <c r="M89" t="s">
        <v>23</v>
      </c>
      <c r="N89" t="s">
        <v>205</v>
      </c>
      <c r="O89" t="s">
        <v>208</v>
      </c>
      <c r="P89">
        <v>42</v>
      </c>
      <c r="Q89">
        <v>4</v>
      </c>
      <c r="R89">
        <v>1252</v>
      </c>
      <c r="S89">
        <v>2295</v>
      </c>
      <c r="T89">
        <v>4172</v>
      </c>
      <c r="U89">
        <f t="shared" si="2"/>
        <v>5008</v>
      </c>
      <c r="V89">
        <f t="shared" si="3"/>
        <v>9180</v>
      </c>
    </row>
    <row r="90" spans="1:22" x14ac:dyDescent="0.25">
      <c r="M90"/>
      <c r="N90"/>
      <c r="Q90" s="15"/>
    </row>
  </sheetData>
  <dataConsolidate/>
  <conditionalFormatting sqref="B1:B89 B91:B1048576">
    <cfRule type="duplicateValues" dxfId="16" priority="5"/>
  </conditionalFormatting>
  <conditionalFormatting sqref="B1:B1048576">
    <cfRule type="containsText" dxfId="15" priority="3" operator="containsText" text="Sales_Order #">
      <formula>NOT(ISERROR(SEARCH("Sales_Order #",B1)))</formula>
    </cfRule>
    <cfRule type="containsText" dxfId="14" priority="4" operator="containsText" text="Sales_Order #">
      <formula>NOT(ISERROR(SEARCH("Sales_Order #",B1)))</formula>
    </cfRule>
  </conditionalFormatting>
  <conditionalFormatting sqref="B1:G1048576 I1:XFD1048576">
    <cfRule type="containsBlanks" dxfId="13" priority="2">
      <formula>LEN(TRIM(B1))=0</formula>
    </cfRule>
  </conditionalFormatting>
  <conditionalFormatting sqref="S90:T1048576 R1:S89">
    <cfRule type="cellIs" dxfId="12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F463-CB27-45AF-9A8A-E3546F312CED}">
  <dimension ref="A1:B3189"/>
  <sheetViews>
    <sheetView workbookViewId="0"/>
  </sheetViews>
  <sheetFormatPr defaultRowHeight="15" x14ac:dyDescent="0.25"/>
  <cols>
    <col min="1" max="1" width="15.28515625" style="34" customWidth="1"/>
  </cols>
  <sheetData>
    <row r="1" spans="1:2" x14ac:dyDescent="0.25">
      <c r="A1" t="s">
        <v>0</v>
      </c>
      <c r="B1" t="s">
        <v>210</v>
      </c>
    </row>
    <row r="2" spans="1:2" x14ac:dyDescent="0.25">
      <c r="A2" t="s">
        <v>18</v>
      </c>
      <c r="B2" t="s">
        <v>211</v>
      </c>
    </row>
    <row r="3" spans="1:2" x14ac:dyDescent="0.25">
      <c r="A3" t="s">
        <v>129</v>
      </c>
      <c r="B3" t="s">
        <v>212</v>
      </c>
    </row>
    <row r="4" spans="1:2" x14ac:dyDescent="0.25">
      <c r="A4" t="s">
        <v>25</v>
      </c>
      <c r="B4" t="s">
        <v>213</v>
      </c>
    </row>
    <row r="5" spans="1:2" x14ac:dyDescent="0.25">
      <c r="A5" t="s">
        <v>26</v>
      </c>
      <c r="B5" t="s">
        <v>214</v>
      </c>
    </row>
    <row r="6" spans="1:2" x14ac:dyDescent="0.25">
      <c r="A6" t="s">
        <v>29</v>
      </c>
      <c r="B6" t="s">
        <v>215</v>
      </c>
    </row>
    <row r="7" spans="1:2" x14ac:dyDescent="0.25">
      <c r="A7" t="s">
        <v>30</v>
      </c>
      <c r="B7" t="s">
        <v>216</v>
      </c>
    </row>
    <row r="8" spans="1:2" x14ac:dyDescent="0.25">
      <c r="A8" t="s">
        <v>32</v>
      </c>
      <c r="B8" t="s">
        <v>217</v>
      </c>
    </row>
    <row r="9" spans="1:2" x14ac:dyDescent="0.25">
      <c r="A9" t="s">
        <v>34</v>
      </c>
      <c r="B9" t="s">
        <v>218</v>
      </c>
    </row>
    <row r="10" spans="1:2" x14ac:dyDescent="0.25">
      <c r="A10" t="s">
        <v>35</v>
      </c>
      <c r="B10" t="s">
        <v>219</v>
      </c>
    </row>
    <row r="11" spans="1:2" x14ac:dyDescent="0.25">
      <c r="A11" t="s">
        <v>36</v>
      </c>
      <c r="B11" t="s">
        <v>220</v>
      </c>
    </row>
    <row r="12" spans="1:2" x14ac:dyDescent="0.25">
      <c r="A12" t="s">
        <v>38</v>
      </c>
      <c r="B12" t="s">
        <v>221</v>
      </c>
    </row>
    <row r="13" spans="1:2" x14ac:dyDescent="0.25">
      <c r="A13" t="s">
        <v>40</v>
      </c>
      <c r="B13" t="s">
        <v>222</v>
      </c>
    </row>
    <row r="14" spans="1:2" x14ac:dyDescent="0.25">
      <c r="A14" t="s">
        <v>41</v>
      </c>
      <c r="B14" t="s">
        <v>223</v>
      </c>
    </row>
    <row r="15" spans="1:2" x14ac:dyDescent="0.25">
      <c r="A15" t="s">
        <v>42</v>
      </c>
      <c r="B15" t="s">
        <v>224</v>
      </c>
    </row>
    <row r="16" spans="1:2" x14ac:dyDescent="0.25">
      <c r="A16" t="s">
        <v>44</v>
      </c>
      <c r="B16" t="s">
        <v>225</v>
      </c>
    </row>
    <row r="17" spans="1:2" x14ac:dyDescent="0.25">
      <c r="A17" t="s">
        <v>45</v>
      </c>
      <c r="B17" t="s">
        <v>226</v>
      </c>
    </row>
    <row r="18" spans="1:2" x14ac:dyDescent="0.25">
      <c r="A18" t="s">
        <v>46</v>
      </c>
      <c r="B18" t="s">
        <v>227</v>
      </c>
    </row>
    <row r="19" spans="1:2" x14ac:dyDescent="0.25">
      <c r="A19" t="s">
        <v>47</v>
      </c>
      <c r="B19" t="s">
        <v>228</v>
      </c>
    </row>
    <row r="20" spans="1:2" x14ac:dyDescent="0.25">
      <c r="A20" t="s">
        <v>48</v>
      </c>
      <c r="B20" t="s">
        <v>229</v>
      </c>
    </row>
    <row r="21" spans="1:2" x14ac:dyDescent="0.25">
      <c r="A21" t="s">
        <v>49</v>
      </c>
      <c r="B21" t="s">
        <v>230</v>
      </c>
    </row>
    <row r="22" spans="1:2" x14ac:dyDescent="0.25">
      <c r="A22" t="s">
        <v>50</v>
      </c>
      <c r="B22" t="s">
        <v>231</v>
      </c>
    </row>
    <row r="23" spans="1:2" x14ac:dyDescent="0.25">
      <c r="A23" t="s">
        <v>52</v>
      </c>
      <c r="B23" t="s">
        <v>232</v>
      </c>
    </row>
    <row r="24" spans="1:2" x14ac:dyDescent="0.25">
      <c r="A24" t="s">
        <v>53</v>
      </c>
      <c r="B24" t="s">
        <v>233</v>
      </c>
    </row>
    <row r="25" spans="1:2" x14ac:dyDescent="0.25">
      <c r="A25" t="s">
        <v>55</v>
      </c>
      <c r="B25" t="s">
        <v>234</v>
      </c>
    </row>
    <row r="26" spans="1:2" x14ac:dyDescent="0.25">
      <c r="A26" t="s">
        <v>57</v>
      </c>
      <c r="B26" t="s">
        <v>235</v>
      </c>
    </row>
    <row r="27" spans="1:2" x14ac:dyDescent="0.25">
      <c r="A27" t="s">
        <v>58</v>
      </c>
      <c r="B27" t="s">
        <v>236</v>
      </c>
    </row>
    <row r="28" spans="1:2" x14ac:dyDescent="0.25">
      <c r="A28" t="s">
        <v>59</v>
      </c>
      <c r="B28" t="s">
        <v>237</v>
      </c>
    </row>
    <row r="29" spans="1:2" x14ac:dyDescent="0.25">
      <c r="A29" t="s">
        <v>60</v>
      </c>
      <c r="B29" t="s">
        <v>238</v>
      </c>
    </row>
    <row r="30" spans="1:2" x14ac:dyDescent="0.25">
      <c r="A30" t="s">
        <v>61</v>
      </c>
      <c r="B30" t="s">
        <v>239</v>
      </c>
    </row>
    <row r="31" spans="1:2" x14ac:dyDescent="0.25">
      <c r="A31" t="s">
        <v>62</v>
      </c>
      <c r="B31" t="s">
        <v>240</v>
      </c>
    </row>
    <row r="32" spans="1:2" x14ac:dyDescent="0.25">
      <c r="A32" t="s">
        <v>63</v>
      </c>
      <c r="B32" t="s">
        <v>241</v>
      </c>
    </row>
    <row r="33" spans="1:2" x14ac:dyDescent="0.25">
      <c r="A33" t="s">
        <v>66</v>
      </c>
      <c r="B33" t="s">
        <v>242</v>
      </c>
    </row>
    <row r="34" spans="1:2" x14ac:dyDescent="0.25">
      <c r="A34" t="s">
        <v>67</v>
      </c>
      <c r="B34" t="s">
        <v>243</v>
      </c>
    </row>
    <row r="35" spans="1:2" x14ac:dyDescent="0.25">
      <c r="A35" t="s">
        <v>68</v>
      </c>
      <c r="B35" t="s">
        <v>244</v>
      </c>
    </row>
    <row r="36" spans="1:2" x14ac:dyDescent="0.25">
      <c r="A36" t="s">
        <v>69</v>
      </c>
      <c r="B36" t="s">
        <v>245</v>
      </c>
    </row>
    <row r="37" spans="1:2" x14ac:dyDescent="0.25">
      <c r="A37" t="s">
        <v>70</v>
      </c>
      <c r="B37" t="s">
        <v>246</v>
      </c>
    </row>
    <row r="38" spans="1:2" x14ac:dyDescent="0.25">
      <c r="A38" t="s">
        <v>71</v>
      </c>
      <c r="B38" t="s">
        <v>247</v>
      </c>
    </row>
    <row r="39" spans="1:2" x14ac:dyDescent="0.25">
      <c r="A39" t="s">
        <v>72</v>
      </c>
      <c r="B39" t="s">
        <v>248</v>
      </c>
    </row>
    <row r="40" spans="1:2" x14ac:dyDescent="0.25">
      <c r="A40" t="s">
        <v>73</v>
      </c>
      <c r="B40" t="s">
        <v>249</v>
      </c>
    </row>
    <row r="41" spans="1:2" x14ac:dyDescent="0.25">
      <c r="A41" t="s">
        <v>74</v>
      </c>
      <c r="B41" t="s">
        <v>250</v>
      </c>
    </row>
    <row r="42" spans="1:2" x14ac:dyDescent="0.25">
      <c r="A42" t="s">
        <v>75</v>
      </c>
      <c r="B42" t="s">
        <v>251</v>
      </c>
    </row>
    <row r="43" spans="1:2" x14ac:dyDescent="0.25">
      <c r="A43" t="s">
        <v>76</v>
      </c>
      <c r="B43" t="s">
        <v>252</v>
      </c>
    </row>
    <row r="44" spans="1:2" x14ac:dyDescent="0.25">
      <c r="A44" t="s">
        <v>77</v>
      </c>
      <c r="B44" t="s">
        <v>253</v>
      </c>
    </row>
    <row r="45" spans="1:2" x14ac:dyDescent="0.25">
      <c r="A45" t="s">
        <v>78</v>
      </c>
      <c r="B45" t="s">
        <v>254</v>
      </c>
    </row>
    <row r="46" spans="1:2" x14ac:dyDescent="0.25">
      <c r="A46" t="s">
        <v>79</v>
      </c>
      <c r="B46" t="s">
        <v>255</v>
      </c>
    </row>
    <row r="47" spans="1:2" x14ac:dyDescent="0.25">
      <c r="A47" t="s">
        <v>80</v>
      </c>
      <c r="B47" t="s">
        <v>256</v>
      </c>
    </row>
    <row r="48" spans="1:2" x14ac:dyDescent="0.25">
      <c r="A48" t="s">
        <v>81</v>
      </c>
      <c r="B48" t="s">
        <v>257</v>
      </c>
    </row>
    <row r="49" spans="1:2" x14ac:dyDescent="0.25">
      <c r="A49" t="s">
        <v>82</v>
      </c>
      <c r="B49" t="s">
        <v>258</v>
      </c>
    </row>
    <row r="50" spans="1:2" x14ac:dyDescent="0.25">
      <c r="A50" t="s">
        <v>83</v>
      </c>
      <c r="B50" t="s">
        <v>259</v>
      </c>
    </row>
    <row r="51" spans="1:2" x14ac:dyDescent="0.25">
      <c r="A51" t="s">
        <v>84</v>
      </c>
      <c r="B51" t="s">
        <v>260</v>
      </c>
    </row>
    <row r="52" spans="1:2" x14ac:dyDescent="0.25">
      <c r="A52" t="s">
        <v>85</v>
      </c>
      <c r="B52" t="s">
        <v>261</v>
      </c>
    </row>
    <row r="53" spans="1:2" x14ac:dyDescent="0.25">
      <c r="A53" t="s">
        <v>87</v>
      </c>
      <c r="B53" t="s">
        <v>262</v>
      </c>
    </row>
    <row r="54" spans="1:2" x14ac:dyDescent="0.25">
      <c r="A54" t="s">
        <v>88</v>
      </c>
      <c r="B54" t="s">
        <v>263</v>
      </c>
    </row>
    <row r="55" spans="1:2" x14ac:dyDescent="0.25">
      <c r="A55" t="s">
        <v>89</v>
      </c>
      <c r="B55" t="s">
        <v>264</v>
      </c>
    </row>
    <row r="56" spans="1:2" x14ac:dyDescent="0.25">
      <c r="A56" t="s">
        <v>90</v>
      </c>
      <c r="B56" t="s">
        <v>265</v>
      </c>
    </row>
    <row r="57" spans="1:2" x14ac:dyDescent="0.25">
      <c r="A57" t="s">
        <v>91</v>
      </c>
      <c r="B57" t="s">
        <v>266</v>
      </c>
    </row>
    <row r="58" spans="1:2" x14ac:dyDescent="0.25">
      <c r="A58" t="s">
        <v>92</v>
      </c>
      <c r="B58" t="s">
        <v>267</v>
      </c>
    </row>
    <row r="59" spans="1:2" x14ac:dyDescent="0.25">
      <c r="A59" t="s">
        <v>94</v>
      </c>
      <c r="B59" t="s">
        <v>268</v>
      </c>
    </row>
    <row r="60" spans="1:2" x14ac:dyDescent="0.25">
      <c r="A60" t="s">
        <v>95</v>
      </c>
      <c r="B60" t="s">
        <v>269</v>
      </c>
    </row>
    <row r="61" spans="1:2" x14ac:dyDescent="0.25">
      <c r="A61" t="s">
        <v>96</v>
      </c>
      <c r="B61" t="s">
        <v>270</v>
      </c>
    </row>
    <row r="62" spans="1:2" x14ac:dyDescent="0.25">
      <c r="A62" t="s">
        <v>97</v>
      </c>
      <c r="B62" t="s">
        <v>271</v>
      </c>
    </row>
    <row r="63" spans="1:2" x14ac:dyDescent="0.25">
      <c r="A63" t="s">
        <v>98</v>
      </c>
      <c r="B63" t="s">
        <v>272</v>
      </c>
    </row>
    <row r="64" spans="1:2" x14ac:dyDescent="0.25">
      <c r="A64" t="s">
        <v>100</v>
      </c>
      <c r="B64" t="s">
        <v>273</v>
      </c>
    </row>
    <row r="65" spans="1:2" x14ac:dyDescent="0.25">
      <c r="A65" t="s">
        <v>101</v>
      </c>
      <c r="B65" t="s">
        <v>274</v>
      </c>
    </row>
    <row r="66" spans="1:2" x14ac:dyDescent="0.25">
      <c r="A66" t="s">
        <v>102</v>
      </c>
      <c r="B66" t="s">
        <v>275</v>
      </c>
    </row>
    <row r="67" spans="1:2" x14ac:dyDescent="0.25">
      <c r="A67" t="s">
        <v>103</v>
      </c>
      <c r="B67" t="s">
        <v>276</v>
      </c>
    </row>
    <row r="68" spans="1:2" x14ac:dyDescent="0.25">
      <c r="A68" t="s">
        <v>104</v>
      </c>
      <c r="B68" t="s">
        <v>277</v>
      </c>
    </row>
    <row r="69" spans="1:2" x14ac:dyDescent="0.25">
      <c r="A69" t="s">
        <v>105</v>
      </c>
      <c r="B69" t="s">
        <v>278</v>
      </c>
    </row>
    <row r="70" spans="1:2" x14ac:dyDescent="0.25">
      <c r="A70" t="s">
        <v>106</v>
      </c>
      <c r="B70" t="s">
        <v>279</v>
      </c>
    </row>
    <row r="71" spans="1:2" x14ac:dyDescent="0.25">
      <c r="A71" t="s">
        <v>108</v>
      </c>
      <c r="B71" t="s">
        <v>280</v>
      </c>
    </row>
    <row r="72" spans="1:2" x14ac:dyDescent="0.25">
      <c r="A72" t="s">
        <v>110</v>
      </c>
      <c r="B72" t="s">
        <v>281</v>
      </c>
    </row>
    <row r="73" spans="1:2" x14ac:dyDescent="0.25">
      <c r="A73" t="s">
        <v>111</v>
      </c>
      <c r="B73" t="s">
        <v>282</v>
      </c>
    </row>
    <row r="74" spans="1:2" x14ac:dyDescent="0.25">
      <c r="A74" t="s">
        <v>112</v>
      </c>
      <c r="B74" t="s">
        <v>283</v>
      </c>
    </row>
    <row r="75" spans="1:2" x14ac:dyDescent="0.25">
      <c r="A75" t="s">
        <v>113</v>
      </c>
      <c r="B75" t="s">
        <v>284</v>
      </c>
    </row>
    <row r="76" spans="1:2" x14ac:dyDescent="0.25">
      <c r="A76" t="s">
        <v>114</v>
      </c>
      <c r="B76" t="s">
        <v>285</v>
      </c>
    </row>
    <row r="77" spans="1:2" x14ac:dyDescent="0.25">
      <c r="A77" t="s">
        <v>115</v>
      </c>
      <c r="B77" t="s">
        <v>286</v>
      </c>
    </row>
    <row r="78" spans="1:2" x14ac:dyDescent="0.25">
      <c r="A78" t="s">
        <v>116</v>
      </c>
      <c r="B78" t="s">
        <v>287</v>
      </c>
    </row>
    <row r="79" spans="1:2" x14ac:dyDescent="0.25">
      <c r="A79" t="s">
        <v>118</v>
      </c>
      <c r="B79" t="s">
        <v>288</v>
      </c>
    </row>
    <row r="80" spans="1:2" x14ac:dyDescent="0.25">
      <c r="A80" t="s">
        <v>119</v>
      </c>
      <c r="B80" t="s">
        <v>289</v>
      </c>
    </row>
    <row r="81" spans="1:2" x14ac:dyDescent="0.25">
      <c r="A81" t="s">
        <v>120</v>
      </c>
      <c r="B81" t="s">
        <v>290</v>
      </c>
    </row>
    <row r="82" spans="1:2" x14ac:dyDescent="0.25">
      <c r="A82" t="s">
        <v>121</v>
      </c>
      <c r="B82" t="s">
        <v>291</v>
      </c>
    </row>
    <row r="83" spans="1:2" x14ac:dyDescent="0.25">
      <c r="A83" t="s">
        <v>122</v>
      </c>
      <c r="B83" t="s">
        <v>292</v>
      </c>
    </row>
    <row r="84" spans="1:2" x14ac:dyDescent="0.25">
      <c r="A84" t="s">
        <v>123</v>
      </c>
      <c r="B84" t="s">
        <v>293</v>
      </c>
    </row>
    <row r="85" spans="1:2" x14ac:dyDescent="0.25">
      <c r="A85" t="s">
        <v>124</v>
      </c>
      <c r="B85" t="s">
        <v>294</v>
      </c>
    </row>
    <row r="86" spans="1:2" x14ac:dyDescent="0.25">
      <c r="A86" t="s">
        <v>125</v>
      </c>
      <c r="B86" t="s">
        <v>295</v>
      </c>
    </row>
    <row r="87" spans="1:2" x14ac:dyDescent="0.25">
      <c r="A87" t="s">
        <v>126</v>
      </c>
      <c r="B87" t="s">
        <v>296</v>
      </c>
    </row>
    <row r="88" spans="1:2" x14ac:dyDescent="0.25">
      <c r="A88" t="s">
        <v>127</v>
      </c>
      <c r="B88" t="s">
        <v>297</v>
      </c>
    </row>
    <row r="89" spans="1:2" x14ac:dyDescent="0.25">
      <c r="A89" t="s">
        <v>128</v>
      </c>
      <c r="B89" t="s">
        <v>298</v>
      </c>
    </row>
    <row r="90" spans="1:2" x14ac:dyDescent="0.25">
      <c r="A90"/>
    </row>
    <row r="91" spans="1:2" x14ac:dyDescent="0.25">
      <c r="A91"/>
    </row>
    <row r="92" spans="1:2" x14ac:dyDescent="0.25">
      <c r="A92"/>
    </row>
    <row r="93" spans="1:2" x14ac:dyDescent="0.25">
      <c r="A93"/>
    </row>
    <row r="94" spans="1:2" x14ac:dyDescent="0.25">
      <c r="A94"/>
    </row>
    <row r="95" spans="1:2" x14ac:dyDescent="0.25">
      <c r="A95"/>
    </row>
    <row r="96" spans="1:2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</sheetData>
  <phoneticPr fontId="18" type="noConversion"/>
  <conditionalFormatting sqref="A1:A89 A91:A1048576">
    <cfRule type="duplicateValues" dxfId="11" priority="4"/>
  </conditionalFormatting>
  <conditionalFormatting sqref="A1:A1048576">
    <cfRule type="containsBlanks" dxfId="10" priority="1">
      <formula>LEN(TRIM(A1))=0</formula>
    </cfRule>
    <cfRule type="containsText" dxfId="9" priority="2" operator="containsText" text="Sales_Order #">
      <formula>NOT(ISERROR(SEARCH("Sales_Order #",A1)))</formula>
    </cfRule>
    <cfRule type="containsText" dxfId="8" priority="3" operator="containsText" text="Sales_Order #">
      <formula>NOT(ISERROR(SEARCH("Sales_Order #",A1)))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C045-8118-439C-B365-BD48FFD09EE8}">
  <dimension ref="A1:B89"/>
  <sheetViews>
    <sheetView workbookViewId="0">
      <selection activeCell="B10" sqref="A1:B10"/>
    </sheetView>
  </sheetViews>
  <sheetFormatPr defaultRowHeight="15" x14ac:dyDescent="0.25"/>
  <cols>
    <col min="1" max="1" width="14" style="27" customWidth="1"/>
    <col min="2" max="2" width="12.5703125" customWidth="1"/>
  </cols>
  <sheetData>
    <row r="1" spans="1:2" x14ac:dyDescent="0.25">
      <c r="A1" t="s">
        <v>8</v>
      </c>
      <c r="B1" t="s">
        <v>177</v>
      </c>
    </row>
    <row r="2" spans="1:2" x14ac:dyDescent="0.25">
      <c r="A2" t="s">
        <v>141</v>
      </c>
      <c r="B2" t="s">
        <v>181</v>
      </c>
    </row>
    <row r="3" spans="1:2" x14ac:dyDescent="0.25">
      <c r="A3" t="s">
        <v>143</v>
      </c>
      <c r="B3" t="s">
        <v>182</v>
      </c>
    </row>
    <row r="4" spans="1:2" x14ac:dyDescent="0.25">
      <c r="A4" t="s">
        <v>64</v>
      </c>
      <c r="B4" t="s">
        <v>183</v>
      </c>
    </row>
    <row r="5" spans="1:2" x14ac:dyDescent="0.25">
      <c r="A5" t="s">
        <v>142</v>
      </c>
      <c r="B5" t="s">
        <v>184</v>
      </c>
    </row>
    <row r="6" spans="1:2" x14ac:dyDescent="0.25">
      <c r="A6" t="s">
        <v>140</v>
      </c>
      <c r="B6" t="s">
        <v>185</v>
      </c>
    </row>
    <row r="7" spans="1:2" x14ac:dyDescent="0.25">
      <c r="A7" t="s">
        <v>139</v>
      </c>
      <c r="B7" t="s">
        <v>186</v>
      </c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</sheetData>
  <sortState xmlns:xlrd2="http://schemas.microsoft.com/office/spreadsheetml/2017/richdata2" ref="A2:A89">
    <sortCondition ref="A1:A89"/>
  </sortState>
  <phoneticPr fontId="18" type="noConversion"/>
  <conditionalFormatting sqref="A1:A7 A90:A1048576">
    <cfRule type="containsBlanks" dxfId="7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B273-D891-4DFD-940E-73DA0419C2CA}">
  <dimension ref="A1:B91"/>
  <sheetViews>
    <sheetView workbookViewId="0">
      <selection activeCell="D25" sqref="D25"/>
    </sheetView>
  </sheetViews>
  <sheetFormatPr defaultRowHeight="15" x14ac:dyDescent="0.25"/>
  <cols>
    <col min="1" max="1" width="19.7109375" style="11" customWidth="1"/>
    <col min="2" max="2" width="10.28515625" customWidth="1"/>
  </cols>
  <sheetData>
    <row r="1" spans="1:2" x14ac:dyDescent="0.25">
      <c r="A1" s="10" t="s">
        <v>9</v>
      </c>
      <c r="B1" t="s">
        <v>178</v>
      </c>
    </row>
    <row r="2" spans="1:2" x14ac:dyDescent="0.25">
      <c r="A2" s="11" t="s">
        <v>43</v>
      </c>
      <c r="B2" t="s">
        <v>187</v>
      </c>
    </row>
    <row r="3" spans="1:2" x14ac:dyDescent="0.25">
      <c r="A3" t="s">
        <v>21</v>
      </c>
      <c r="B3" t="s">
        <v>188</v>
      </c>
    </row>
    <row r="4" spans="1:2" x14ac:dyDescent="0.25">
      <c r="A4" t="s">
        <v>24</v>
      </c>
      <c r="B4" t="s">
        <v>189</v>
      </c>
    </row>
    <row r="5" spans="1:2" x14ac:dyDescent="0.25">
      <c r="A5" t="s">
        <v>56</v>
      </c>
      <c r="B5" t="s">
        <v>190</v>
      </c>
    </row>
    <row r="6" spans="1:2" x14ac:dyDescent="0.25">
      <c r="A6" t="s">
        <v>109</v>
      </c>
      <c r="B6" t="s">
        <v>191</v>
      </c>
    </row>
    <row r="7" spans="1:2" x14ac:dyDescent="0.25">
      <c r="A7" t="s">
        <v>28</v>
      </c>
      <c r="B7" t="s">
        <v>192</v>
      </c>
    </row>
    <row r="8" spans="1:2" x14ac:dyDescent="0.25">
      <c r="A8" t="s">
        <v>99</v>
      </c>
      <c r="B8" t="s">
        <v>193</v>
      </c>
    </row>
    <row r="9" spans="1:2" x14ac:dyDescent="0.25">
      <c r="A9" t="s">
        <v>37</v>
      </c>
      <c r="B9" t="s">
        <v>194</v>
      </c>
    </row>
    <row r="10" spans="1:2" x14ac:dyDescent="0.25">
      <c r="A10" t="s">
        <v>51</v>
      </c>
      <c r="B10" t="s">
        <v>195</v>
      </c>
    </row>
    <row r="11" spans="1:2" x14ac:dyDescent="0.25">
      <c r="A11" t="s">
        <v>39</v>
      </c>
      <c r="B11" t="s">
        <v>196</v>
      </c>
    </row>
    <row r="12" spans="1:2" x14ac:dyDescent="0.25">
      <c r="A12" t="s">
        <v>65</v>
      </c>
      <c r="B12" t="s">
        <v>197</v>
      </c>
    </row>
    <row r="13" spans="1:2" x14ac:dyDescent="0.25">
      <c r="A13" t="s">
        <v>86</v>
      </c>
      <c r="B13" t="s">
        <v>198</v>
      </c>
    </row>
    <row r="14" spans="1:2" x14ac:dyDescent="0.25">
      <c r="A14" t="s">
        <v>93</v>
      </c>
      <c r="B14" t="s">
        <v>199</v>
      </c>
    </row>
    <row r="15" spans="1:2" x14ac:dyDescent="0.25">
      <c r="A15" t="s">
        <v>117</v>
      </c>
      <c r="B15" t="s">
        <v>200</v>
      </c>
    </row>
    <row r="16" spans="1:2" x14ac:dyDescent="0.25">
      <c r="A16" t="s">
        <v>107</v>
      </c>
      <c r="B16" t="s">
        <v>201</v>
      </c>
    </row>
    <row r="17" spans="1:2" x14ac:dyDescent="0.25">
      <c r="A17" t="s">
        <v>54</v>
      </c>
      <c r="B17" t="s">
        <v>202</v>
      </c>
    </row>
    <row r="18" spans="1:2" x14ac:dyDescent="0.25">
      <c r="A18" t="s">
        <v>33</v>
      </c>
      <c r="B18" t="s">
        <v>203</v>
      </c>
    </row>
    <row r="19" spans="1:2" x14ac:dyDescent="0.25">
      <c r="A19"/>
    </row>
    <row r="20" spans="1:2" x14ac:dyDescent="0.25">
      <c r="A20"/>
    </row>
    <row r="21" spans="1:2" x14ac:dyDescent="0.25">
      <c r="A21"/>
    </row>
    <row r="22" spans="1:2" x14ac:dyDescent="0.25">
      <c r="A22"/>
    </row>
    <row r="23" spans="1:2" x14ac:dyDescent="0.25">
      <c r="A23"/>
    </row>
    <row r="24" spans="1:2" x14ac:dyDescent="0.25">
      <c r="A24"/>
    </row>
    <row r="25" spans="1:2" x14ac:dyDescent="0.25">
      <c r="A25"/>
    </row>
    <row r="26" spans="1:2" x14ac:dyDescent="0.25">
      <c r="A26"/>
    </row>
    <row r="27" spans="1:2" x14ac:dyDescent="0.25">
      <c r="A27"/>
    </row>
    <row r="28" spans="1:2" x14ac:dyDescent="0.25">
      <c r="A28"/>
    </row>
    <row r="29" spans="1:2" x14ac:dyDescent="0.25">
      <c r="A29"/>
    </row>
    <row r="30" spans="1:2" x14ac:dyDescent="0.25">
      <c r="A30"/>
    </row>
    <row r="31" spans="1:2" x14ac:dyDescent="0.25">
      <c r="A31"/>
    </row>
    <row r="32" spans="1: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</sheetData>
  <sortState xmlns:xlrd2="http://schemas.microsoft.com/office/spreadsheetml/2017/richdata2" ref="A2:A90">
    <sortCondition ref="A1:A90"/>
  </sortState>
  <phoneticPr fontId="18" type="noConversion"/>
  <conditionalFormatting sqref="A1:A18 A92:A1048576">
    <cfRule type="containsBlanks" dxfId="6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2371-F169-4675-9C20-54EFCD4602F3}">
  <dimension ref="A1:B91"/>
  <sheetViews>
    <sheetView workbookViewId="0">
      <selection activeCell="D11" sqref="D11"/>
    </sheetView>
  </sheetViews>
  <sheetFormatPr defaultRowHeight="15" x14ac:dyDescent="0.25"/>
  <cols>
    <col min="1" max="1" width="16" style="9" bestFit="1" customWidth="1"/>
    <col min="2" max="2" width="11.5703125" customWidth="1"/>
  </cols>
  <sheetData>
    <row r="1" spans="1:2" x14ac:dyDescent="0.25">
      <c r="A1" t="s">
        <v>138</v>
      </c>
      <c r="B1" t="s">
        <v>179</v>
      </c>
    </row>
    <row r="2" spans="1:2" x14ac:dyDescent="0.25">
      <c r="A2" t="s">
        <v>137</v>
      </c>
      <c r="B2" t="s">
        <v>204</v>
      </c>
    </row>
    <row r="3" spans="1:2" x14ac:dyDescent="0.25">
      <c r="A3" t="s">
        <v>132</v>
      </c>
      <c r="B3" t="s">
        <v>205</v>
      </c>
    </row>
    <row r="4" spans="1:2" x14ac:dyDescent="0.25">
      <c r="A4" t="s">
        <v>135</v>
      </c>
      <c r="B4" t="s">
        <v>206</v>
      </c>
    </row>
    <row r="5" spans="1:2" x14ac:dyDescent="0.25">
      <c r="A5" t="s">
        <v>136</v>
      </c>
      <c r="B5" t="s">
        <v>207</v>
      </c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</sheetData>
  <sortState xmlns:xlrd2="http://schemas.microsoft.com/office/spreadsheetml/2017/richdata2" ref="A2:A90">
    <sortCondition ref="A1:A90"/>
  </sortState>
  <phoneticPr fontId="18" type="noConversion"/>
  <conditionalFormatting sqref="A1:A5 A92:A1048576">
    <cfRule type="containsBlanks" dxfId="5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AB35-F7BB-4131-89BF-1E4E6937B5C3}">
  <dimension ref="A1:B3"/>
  <sheetViews>
    <sheetView workbookViewId="0">
      <selection activeCell="H18" sqref="H18"/>
    </sheetView>
  </sheetViews>
  <sheetFormatPr defaultRowHeight="15" x14ac:dyDescent="0.25"/>
  <cols>
    <col min="1" max="1" width="10.28515625" customWidth="1"/>
  </cols>
  <sheetData>
    <row r="1" spans="1:2" x14ac:dyDescent="0.25">
      <c r="A1" t="s">
        <v>180</v>
      </c>
      <c r="B1" t="s">
        <v>299</v>
      </c>
    </row>
    <row r="2" spans="1:2" x14ac:dyDescent="0.25">
      <c r="A2" t="s">
        <v>302</v>
      </c>
      <c r="B2" t="s">
        <v>300</v>
      </c>
    </row>
    <row r="3" spans="1:2" x14ac:dyDescent="0.25">
      <c r="A3" t="s">
        <v>303</v>
      </c>
      <c r="B3" t="s">
        <v>301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0"/>
  <sheetViews>
    <sheetView workbookViewId="0">
      <selection activeCell="T3" sqref="T3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4.28515625" bestFit="1" customWidth="1"/>
    <col min="4" max="4" width="10.140625" bestFit="1" customWidth="1"/>
    <col min="5" max="5" width="5" bestFit="1" customWidth="1"/>
    <col min="6" max="6" width="8.85546875" bestFit="1" customWidth="1"/>
    <col min="7" max="7" width="19.42578125" bestFit="1" customWidth="1"/>
    <col min="8" max="8" width="8.85546875" bestFit="1" customWidth="1"/>
    <col min="9" max="9" width="15.42578125" bestFit="1" customWidth="1"/>
    <col min="10" max="10" width="20.28515625" bestFit="1" customWidth="1"/>
    <col min="11" max="11" width="8.85546875" bestFit="1" customWidth="1"/>
    <col min="12" max="12" width="14.85546875" bestFit="1" customWidth="1"/>
    <col min="13" max="13" width="24.7109375" bestFit="1" customWidth="1"/>
    <col min="14" max="14" width="8.5703125" bestFit="1" customWidth="1"/>
    <col min="15" max="18" width="9.85546875" bestFit="1" customWidth="1"/>
    <col min="19" max="19" width="10.85546875" bestFit="1" customWidth="1"/>
  </cols>
  <sheetData>
    <row r="1" spans="1:19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10" t="s">
        <v>9</v>
      </c>
      <c r="K1" s="8" t="s">
        <v>10</v>
      </c>
      <c r="L1" s="8" t="s">
        <v>11</v>
      </c>
      <c r="M1" s="12" t="s">
        <v>147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 spans="1:19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s="17" t="s">
        <v>20</v>
      </c>
      <c r="H2" t="s">
        <v>148</v>
      </c>
      <c r="I2" s="7" t="s">
        <v>149</v>
      </c>
      <c r="J2" s="11" t="s">
        <v>21</v>
      </c>
      <c r="K2" s="9" t="s">
        <v>22</v>
      </c>
      <c r="L2" s="9" t="s">
        <v>23</v>
      </c>
      <c r="M2" s="13" t="s">
        <v>150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18</v>
      </c>
      <c r="B3" s="1">
        <v>44531</v>
      </c>
      <c r="C3">
        <v>1</v>
      </c>
      <c r="D3" t="s">
        <v>19</v>
      </c>
      <c r="E3">
        <v>2021</v>
      </c>
      <c r="F3">
        <v>44</v>
      </c>
      <c r="G3" s="17" t="s">
        <v>20</v>
      </c>
      <c r="H3" t="s">
        <v>151</v>
      </c>
      <c r="I3" s="7" t="s">
        <v>152</v>
      </c>
      <c r="J3" s="11" t="s">
        <v>24</v>
      </c>
      <c r="K3" s="9" t="s">
        <v>22</v>
      </c>
      <c r="L3" s="9" t="s">
        <v>23</v>
      </c>
      <c r="M3" s="13" t="s">
        <v>153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25</v>
      </c>
      <c r="B4" s="1">
        <v>44532</v>
      </c>
      <c r="C4">
        <v>2</v>
      </c>
      <c r="D4" t="s">
        <v>19</v>
      </c>
      <c r="E4">
        <v>2021</v>
      </c>
      <c r="F4">
        <v>37</v>
      </c>
      <c r="G4" s="17" t="s">
        <v>20</v>
      </c>
      <c r="H4" t="s">
        <v>151</v>
      </c>
      <c r="I4" s="7" t="s">
        <v>154</v>
      </c>
      <c r="J4" s="11" t="s">
        <v>21</v>
      </c>
      <c r="K4" s="9" t="s">
        <v>22</v>
      </c>
      <c r="L4" s="9" t="s">
        <v>23</v>
      </c>
      <c r="M4" s="13" t="s">
        <v>155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26</v>
      </c>
      <c r="B5" s="1">
        <v>44532</v>
      </c>
      <c r="C5">
        <v>2</v>
      </c>
      <c r="D5" t="s">
        <v>19</v>
      </c>
      <c r="E5">
        <v>2021</v>
      </c>
      <c r="F5">
        <v>31</v>
      </c>
      <c r="G5" s="17" t="s">
        <v>27</v>
      </c>
      <c r="H5" t="s">
        <v>148</v>
      </c>
      <c r="I5" s="7" t="s">
        <v>156</v>
      </c>
      <c r="J5" s="11" t="s">
        <v>28</v>
      </c>
      <c r="K5" s="9" t="s">
        <v>22</v>
      </c>
      <c r="L5" s="9" t="s">
        <v>23</v>
      </c>
      <c r="M5" s="13" t="s">
        <v>157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29</v>
      </c>
      <c r="B6" s="1">
        <v>44533</v>
      </c>
      <c r="C6">
        <v>3</v>
      </c>
      <c r="D6" t="s">
        <v>19</v>
      </c>
      <c r="E6">
        <v>2021</v>
      </c>
      <c r="F6">
        <v>37</v>
      </c>
      <c r="G6" s="17" t="s">
        <v>20</v>
      </c>
      <c r="H6" t="s">
        <v>148</v>
      </c>
      <c r="I6" s="7" t="s">
        <v>158</v>
      </c>
      <c r="J6" s="11" t="s">
        <v>21</v>
      </c>
      <c r="K6" s="9" t="s">
        <v>22</v>
      </c>
      <c r="L6" s="9" t="s">
        <v>23</v>
      </c>
      <c r="M6" s="13" t="s">
        <v>150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30</v>
      </c>
      <c r="B7" s="1">
        <v>44533</v>
      </c>
      <c r="C7">
        <v>3</v>
      </c>
      <c r="D7" t="s">
        <v>19</v>
      </c>
      <c r="E7">
        <v>2021</v>
      </c>
      <c r="F7">
        <v>24</v>
      </c>
      <c r="G7" s="17" t="s">
        <v>31</v>
      </c>
      <c r="H7" t="s">
        <v>148</v>
      </c>
      <c r="I7" s="7" t="s">
        <v>152</v>
      </c>
      <c r="J7" s="11" t="s">
        <v>24</v>
      </c>
      <c r="K7" s="9" t="s">
        <v>22</v>
      </c>
      <c r="L7" s="9" t="s">
        <v>23</v>
      </c>
      <c r="M7" s="13" t="s">
        <v>159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32</v>
      </c>
      <c r="B8" s="1">
        <v>44533</v>
      </c>
      <c r="C8">
        <v>3</v>
      </c>
      <c r="D8" t="s">
        <v>19</v>
      </c>
      <c r="E8">
        <v>2021</v>
      </c>
      <c r="F8">
        <v>37</v>
      </c>
      <c r="G8" s="17" t="s">
        <v>20</v>
      </c>
      <c r="H8" t="s">
        <v>151</v>
      </c>
      <c r="I8" s="7" t="s">
        <v>160</v>
      </c>
      <c r="J8" s="11" t="s">
        <v>33</v>
      </c>
      <c r="K8" s="9" t="s">
        <v>22</v>
      </c>
      <c r="L8" s="9" t="s">
        <v>23</v>
      </c>
      <c r="M8" s="13" t="s">
        <v>150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18" t="s">
        <v>32</v>
      </c>
      <c r="B9" s="19">
        <v>44533</v>
      </c>
      <c r="C9" s="4">
        <v>3</v>
      </c>
      <c r="D9" s="4" t="s">
        <v>19</v>
      </c>
      <c r="E9" s="4">
        <v>2021</v>
      </c>
      <c r="F9" s="4">
        <v>37</v>
      </c>
      <c r="G9" s="20" t="s">
        <v>20</v>
      </c>
      <c r="H9" s="4" t="s">
        <v>151</v>
      </c>
      <c r="I9" s="21" t="s">
        <v>149</v>
      </c>
      <c r="J9" s="22" t="s">
        <v>33</v>
      </c>
      <c r="K9" s="23" t="s">
        <v>22</v>
      </c>
      <c r="L9" s="23" t="s">
        <v>23</v>
      </c>
      <c r="M9" s="24" t="s">
        <v>150</v>
      </c>
      <c r="N9" s="4">
        <v>1</v>
      </c>
      <c r="O9" s="25">
        <v>1252</v>
      </c>
      <c r="P9" s="25">
        <v>2295</v>
      </c>
      <c r="Q9" s="25">
        <v>1043</v>
      </c>
      <c r="R9" s="25">
        <f t="shared" si="0"/>
        <v>1252</v>
      </c>
      <c r="S9" s="25">
        <f t="shared" si="1"/>
        <v>2295</v>
      </c>
    </row>
    <row r="10" spans="1:19" x14ac:dyDescent="0.25">
      <c r="A10" s="3" t="s">
        <v>34</v>
      </c>
      <c r="B10" s="1">
        <v>44534</v>
      </c>
      <c r="C10">
        <v>4</v>
      </c>
      <c r="D10" t="s">
        <v>19</v>
      </c>
      <c r="E10">
        <v>2021</v>
      </c>
      <c r="F10">
        <v>31</v>
      </c>
      <c r="G10" s="17" t="s">
        <v>27</v>
      </c>
      <c r="H10" t="s">
        <v>148</v>
      </c>
      <c r="I10" s="7" t="s">
        <v>156</v>
      </c>
      <c r="J10" s="11" t="s">
        <v>28</v>
      </c>
      <c r="K10" s="9" t="s">
        <v>22</v>
      </c>
      <c r="L10" s="9" t="s">
        <v>23</v>
      </c>
      <c r="M10" s="13" t="s">
        <v>157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35</v>
      </c>
      <c r="B11" s="1">
        <v>44535</v>
      </c>
      <c r="C11">
        <v>5</v>
      </c>
      <c r="D11" t="s">
        <v>19</v>
      </c>
      <c r="E11">
        <v>2021</v>
      </c>
      <c r="F11">
        <v>39</v>
      </c>
      <c r="G11" s="17" t="s">
        <v>20</v>
      </c>
      <c r="H11" t="s">
        <v>148</v>
      </c>
      <c r="I11" s="7" t="s">
        <v>149</v>
      </c>
      <c r="J11" s="11" t="s">
        <v>21</v>
      </c>
      <c r="K11" s="9" t="s">
        <v>22</v>
      </c>
      <c r="L11" s="9" t="s">
        <v>23</v>
      </c>
      <c r="M11" s="13" t="s">
        <v>150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36</v>
      </c>
      <c r="B12" s="1">
        <v>44535</v>
      </c>
      <c r="D12" t="s">
        <v>19</v>
      </c>
      <c r="E12">
        <v>2021</v>
      </c>
      <c r="F12">
        <v>42</v>
      </c>
      <c r="G12" s="17" t="s">
        <v>20</v>
      </c>
      <c r="H12" t="s">
        <v>151</v>
      </c>
      <c r="I12" s="7" t="s">
        <v>161</v>
      </c>
      <c r="J12" s="11" t="s">
        <v>37</v>
      </c>
      <c r="K12" s="9" t="s">
        <v>22</v>
      </c>
      <c r="L12" s="9" t="s">
        <v>23</v>
      </c>
      <c r="M12" s="13" t="s">
        <v>159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38</v>
      </c>
      <c r="B13" s="1">
        <v>44535</v>
      </c>
      <c r="C13">
        <v>5</v>
      </c>
      <c r="D13" t="s">
        <v>19</v>
      </c>
      <c r="E13">
        <v>2021</v>
      </c>
      <c r="F13">
        <v>35</v>
      </c>
      <c r="G13" s="17" t="s">
        <v>20</v>
      </c>
      <c r="H13" t="s">
        <v>148</v>
      </c>
      <c r="I13" s="7" t="s">
        <v>156</v>
      </c>
      <c r="J13" s="11" t="s">
        <v>39</v>
      </c>
      <c r="K13" s="9" t="s">
        <v>22</v>
      </c>
      <c r="L13" s="9" t="s">
        <v>23</v>
      </c>
      <c r="M13" s="13" t="s">
        <v>162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40</v>
      </c>
      <c r="B14" s="1">
        <v>44535</v>
      </c>
      <c r="C14">
        <v>5</v>
      </c>
      <c r="D14" t="s">
        <v>19</v>
      </c>
      <c r="E14">
        <v>2021</v>
      </c>
      <c r="F14">
        <v>37</v>
      </c>
      <c r="G14" s="17" t="s">
        <v>20</v>
      </c>
      <c r="H14" t="s">
        <v>148</v>
      </c>
      <c r="I14" s="7" t="s">
        <v>149</v>
      </c>
      <c r="J14" s="11" t="s">
        <v>21</v>
      </c>
      <c r="K14" s="9" t="s">
        <v>22</v>
      </c>
      <c r="L14" s="9" t="s">
        <v>23</v>
      </c>
      <c r="M14" s="13" t="s">
        <v>150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41</v>
      </c>
      <c r="B15" s="1">
        <v>44536</v>
      </c>
      <c r="C15">
        <v>6</v>
      </c>
      <c r="D15" t="s">
        <v>19</v>
      </c>
      <c r="E15">
        <v>2021</v>
      </c>
      <c r="F15">
        <v>23</v>
      </c>
      <c r="G15" s="17" t="s">
        <v>31</v>
      </c>
      <c r="H15" t="s">
        <v>151</v>
      </c>
      <c r="I15" s="7" t="s">
        <v>152</v>
      </c>
      <c r="J15" s="11" t="s">
        <v>24</v>
      </c>
      <c r="K15" s="9" t="s">
        <v>22</v>
      </c>
      <c r="L15" s="9" t="s">
        <v>23</v>
      </c>
      <c r="M15" s="13" t="s">
        <v>155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42</v>
      </c>
      <c r="B16" s="1">
        <v>44536</v>
      </c>
      <c r="C16">
        <v>6</v>
      </c>
      <c r="D16" t="s">
        <v>19</v>
      </c>
      <c r="E16">
        <v>2021</v>
      </c>
      <c r="F16">
        <v>27</v>
      </c>
      <c r="G16" s="17" t="s">
        <v>27</v>
      </c>
      <c r="H16" t="s">
        <v>151</v>
      </c>
      <c r="I16" s="7" t="s">
        <v>163</v>
      </c>
      <c r="J16" s="11" t="s">
        <v>43</v>
      </c>
      <c r="K16" s="9" t="s">
        <v>22</v>
      </c>
      <c r="L16" s="9" t="s">
        <v>23</v>
      </c>
      <c r="M16" s="13" t="s">
        <v>150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44</v>
      </c>
      <c r="B17" s="1">
        <v>44536</v>
      </c>
      <c r="C17">
        <v>6</v>
      </c>
      <c r="D17" t="s">
        <v>19</v>
      </c>
      <c r="E17">
        <v>2021</v>
      </c>
      <c r="F17">
        <v>36</v>
      </c>
      <c r="G17" s="17"/>
      <c r="H17" t="s">
        <v>151</v>
      </c>
      <c r="I17" s="7" t="s">
        <v>156</v>
      </c>
      <c r="J17" s="11" t="s">
        <v>28</v>
      </c>
      <c r="K17" s="9" t="s">
        <v>22</v>
      </c>
      <c r="L17" s="9" t="s">
        <v>23</v>
      </c>
      <c r="M17" s="13" t="s">
        <v>164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45</v>
      </c>
      <c r="B18" s="1">
        <v>44536</v>
      </c>
      <c r="C18">
        <v>6</v>
      </c>
      <c r="D18" t="s">
        <v>19</v>
      </c>
      <c r="E18">
        <v>2021</v>
      </c>
      <c r="F18">
        <v>47</v>
      </c>
      <c r="G18" s="17" t="s">
        <v>20</v>
      </c>
      <c r="H18" t="s">
        <v>151</v>
      </c>
      <c r="I18" s="7" t="s">
        <v>152</v>
      </c>
      <c r="J18" s="11" t="s">
        <v>24</v>
      </c>
      <c r="K18" s="9" t="s">
        <v>22</v>
      </c>
      <c r="L18" s="9" t="s">
        <v>23</v>
      </c>
      <c r="M18" s="13" t="s">
        <v>162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46</v>
      </c>
      <c r="B19" s="1">
        <v>44537</v>
      </c>
      <c r="C19">
        <v>7</v>
      </c>
      <c r="D19" t="s">
        <v>165</v>
      </c>
      <c r="E19">
        <v>2021</v>
      </c>
      <c r="F19">
        <v>30</v>
      </c>
      <c r="G19" s="17" t="s">
        <v>27</v>
      </c>
      <c r="H19" t="s">
        <v>151</v>
      </c>
      <c r="I19" s="7" t="s">
        <v>149</v>
      </c>
      <c r="J19" s="11" t="s">
        <v>21</v>
      </c>
      <c r="K19" s="9" t="s">
        <v>22</v>
      </c>
      <c r="L19" s="9" t="s">
        <v>23</v>
      </c>
      <c r="M19" s="13" t="s">
        <v>166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47</v>
      </c>
      <c r="B20" s="1">
        <v>44537</v>
      </c>
      <c r="C20">
        <v>7</v>
      </c>
      <c r="D20" t="s">
        <v>19</v>
      </c>
      <c r="E20">
        <v>2021</v>
      </c>
      <c r="F20">
        <v>38</v>
      </c>
      <c r="G20" s="17" t="s">
        <v>20</v>
      </c>
      <c r="H20" t="s">
        <v>151</v>
      </c>
      <c r="I20" s="7" t="s">
        <v>149</v>
      </c>
      <c r="J20" s="11" t="s">
        <v>21</v>
      </c>
      <c r="K20" s="9" t="s">
        <v>22</v>
      </c>
      <c r="L20" s="9" t="s">
        <v>23</v>
      </c>
      <c r="M20" s="13" t="s">
        <v>153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48</v>
      </c>
      <c r="B21" s="1">
        <v>44538</v>
      </c>
      <c r="C21">
        <v>8</v>
      </c>
      <c r="D21" t="s">
        <v>19</v>
      </c>
      <c r="E21">
        <v>2021</v>
      </c>
      <c r="F21">
        <v>19</v>
      </c>
      <c r="G21" s="17" t="s">
        <v>31</v>
      </c>
      <c r="H21" t="s">
        <v>148</v>
      </c>
      <c r="I21" s="7" t="s">
        <v>156</v>
      </c>
      <c r="J21" s="11" t="s">
        <v>28</v>
      </c>
      <c r="K21" s="9" t="s">
        <v>22</v>
      </c>
      <c r="L21" s="9" t="s">
        <v>23</v>
      </c>
      <c r="M21" s="13" t="s">
        <v>167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49</v>
      </c>
      <c r="B22" s="1">
        <v>44538</v>
      </c>
      <c r="C22">
        <v>8</v>
      </c>
      <c r="D22" t="s">
        <v>19</v>
      </c>
      <c r="E22">
        <v>2021</v>
      </c>
      <c r="F22">
        <v>30</v>
      </c>
      <c r="G22" s="17" t="s">
        <v>27</v>
      </c>
      <c r="H22" t="s">
        <v>148</v>
      </c>
      <c r="I22" s="7" t="s">
        <v>163</v>
      </c>
      <c r="J22" s="11" t="s">
        <v>43</v>
      </c>
      <c r="K22" s="9" t="s">
        <v>22</v>
      </c>
      <c r="L22" s="9" t="s">
        <v>23</v>
      </c>
      <c r="M22" s="13" t="s">
        <v>162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50</v>
      </c>
      <c r="B23" s="1">
        <v>44538</v>
      </c>
      <c r="C23">
        <v>8</v>
      </c>
      <c r="D23" t="s">
        <v>19</v>
      </c>
      <c r="E23">
        <v>2021</v>
      </c>
      <c r="F23">
        <v>39</v>
      </c>
      <c r="G23" s="17" t="s">
        <v>20</v>
      </c>
      <c r="H23" t="s">
        <v>148</v>
      </c>
      <c r="I23" s="7" t="s">
        <v>149</v>
      </c>
      <c r="J23" s="11" t="s">
        <v>51</v>
      </c>
      <c r="K23" s="9" t="s">
        <v>22</v>
      </c>
      <c r="L23" s="9" t="s">
        <v>23</v>
      </c>
      <c r="M23" s="13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52</v>
      </c>
      <c r="B24" s="1">
        <v>44538</v>
      </c>
      <c r="C24">
        <v>8</v>
      </c>
      <c r="D24" t="s">
        <v>19</v>
      </c>
      <c r="E24">
        <v>2021</v>
      </c>
      <c r="F24">
        <v>35</v>
      </c>
      <c r="G24" s="17" t="s">
        <v>20</v>
      </c>
      <c r="H24" t="s">
        <v>148</v>
      </c>
      <c r="I24" s="7" t="s">
        <v>149</v>
      </c>
      <c r="J24" s="11" t="s">
        <v>21</v>
      </c>
      <c r="K24" s="9" t="s">
        <v>22</v>
      </c>
      <c r="L24" s="9" t="s">
        <v>23</v>
      </c>
      <c r="M24" s="13" t="s">
        <v>168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53</v>
      </c>
      <c r="B25" s="1">
        <v>44539</v>
      </c>
      <c r="C25">
        <v>9</v>
      </c>
      <c r="D25" t="s">
        <v>19</v>
      </c>
      <c r="E25">
        <v>2021</v>
      </c>
      <c r="F25">
        <v>33</v>
      </c>
      <c r="G25" s="17" t="s">
        <v>27</v>
      </c>
      <c r="H25" t="s">
        <v>148</v>
      </c>
      <c r="I25" s="7" t="s">
        <v>156</v>
      </c>
      <c r="J25" s="11" t="s">
        <v>54</v>
      </c>
      <c r="K25" s="9" t="s">
        <v>22</v>
      </c>
      <c r="L25" s="9" t="s">
        <v>23</v>
      </c>
      <c r="M25" s="13" t="s">
        <v>169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55</v>
      </c>
      <c r="B26" s="1">
        <v>44539</v>
      </c>
      <c r="C26">
        <v>9</v>
      </c>
      <c r="D26" t="s">
        <v>19</v>
      </c>
      <c r="E26">
        <v>2021</v>
      </c>
      <c r="F26">
        <v>41</v>
      </c>
      <c r="G26" s="17" t="s">
        <v>20</v>
      </c>
      <c r="H26" t="s">
        <v>148</v>
      </c>
      <c r="I26" s="7" t="s">
        <v>161</v>
      </c>
      <c r="J26" s="11" t="s">
        <v>56</v>
      </c>
      <c r="K26" s="9" t="s">
        <v>22</v>
      </c>
      <c r="L26" s="9" t="s">
        <v>23</v>
      </c>
      <c r="M26" s="13" t="s">
        <v>153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57</v>
      </c>
      <c r="B27" s="1">
        <v>44540</v>
      </c>
      <c r="C27">
        <v>10</v>
      </c>
      <c r="D27" t="s">
        <v>19</v>
      </c>
      <c r="E27">
        <v>2021</v>
      </c>
      <c r="F27">
        <v>34</v>
      </c>
      <c r="G27" s="17" t="s">
        <v>27</v>
      </c>
      <c r="H27" t="s">
        <v>148</v>
      </c>
      <c r="I27" s="7" t="s">
        <v>149</v>
      </c>
      <c r="J27" s="11" t="s">
        <v>21</v>
      </c>
      <c r="K27" s="9" t="s">
        <v>22</v>
      </c>
      <c r="L27" s="9" t="s">
        <v>23</v>
      </c>
      <c r="M27" s="13" t="s">
        <v>164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58</v>
      </c>
      <c r="B28" s="1">
        <v>44540</v>
      </c>
      <c r="C28">
        <v>10</v>
      </c>
      <c r="D28" t="s">
        <v>19</v>
      </c>
      <c r="E28">
        <v>2021</v>
      </c>
      <c r="F28">
        <v>40</v>
      </c>
      <c r="G28" s="17" t="s">
        <v>20</v>
      </c>
      <c r="H28" t="s">
        <v>151</v>
      </c>
      <c r="I28" s="7" t="s">
        <v>156</v>
      </c>
      <c r="J28" s="11" t="s">
        <v>28</v>
      </c>
      <c r="K28" s="9" t="s">
        <v>22</v>
      </c>
      <c r="L28" s="9" t="s">
        <v>23</v>
      </c>
      <c r="M28" s="13" t="s">
        <v>164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59</v>
      </c>
      <c r="B29" s="1">
        <v>44540</v>
      </c>
      <c r="C29">
        <v>10</v>
      </c>
      <c r="D29" t="s">
        <v>19</v>
      </c>
      <c r="E29">
        <v>2021</v>
      </c>
      <c r="F29">
        <v>26</v>
      </c>
      <c r="G29" s="17" t="s">
        <v>27</v>
      </c>
      <c r="H29" t="s">
        <v>151</v>
      </c>
      <c r="I29" s="7" t="s">
        <v>152</v>
      </c>
      <c r="J29" s="11" t="s">
        <v>24</v>
      </c>
      <c r="K29" s="9" t="s">
        <v>22</v>
      </c>
      <c r="L29" s="9" t="s">
        <v>23</v>
      </c>
      <c r="M29" s="13" t="s">
        <v>159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60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s="17" t="s">
        <v>27</v>
      </c>
      <c r="H30" t="s">
        <v>151</v>
      </c>
      <c r="I30" s="7" t="s">
        <v>149</v>
      </c>
      <c r="J30" s="11" t="s">
        <v>21</v>
      </c>
      <c r="K30" s="9" t="s">
        <v>22</v>
      </c>
      <c r="L30" s="9" t="s">
        <v>23</v>
      </c>
      <c r="M30" s="13" t="s">
        <v>170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61</v>
      </c>
      <c r="B31" s="1">
        <v>44540</v>
      </c>
      <c r="C31">
        <v>10</v>
      </c>
      <c r="D31" t="s">
        <v>19</v>
      </c>
      <c r="E31">
        <v>2021</v>
      </c>
      <c r="F31">
        <v>34</v>
      </c>
      <c r="G31" s="17" t="s">
        <v>27</v>
      </c>
      <c r="H31" t="s">
        <v>148</v>
      </c>
      <c r="I31" s="7" t="s">
        <v>149</v>
      </c>
      <c r="J31" s="11" t="s">
        <v>33</v>
      </c>
      <c r="K31" s="9" t="s">
        <v>22</v>
      </c>
      <c r="L31" s="9" t="s">
        <v>23</v>
      </c>
      <c r="M31" s="13" t="s">
        <v>171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62</v>
      </c>
      <c r="B32" s="1">
        <v>44540</v>
      </c>
      <c r="C32">
        <v>10</v>
      </c>
      <c r="D32" t="s">
        <v>19</v>
      </c>
      <c r="E32">
        <v>2021</v>
      </c>
      <c r="F32">
        <v>38</v>
      </c>
      <c r="G32" s="17" t="s">
        <v>20</v>
      </c>
      <c r="H32" t="s">
        <v>151</v>
      </c>
      <c r="I32" s="7" t="s">
        <v>156</v>
      </c>
      <c r="J32" s="11" t="s">
        <v>28</v>
      </c>
      <c r="K32" s="9" t="s">
        <v>22</v>
      </c>
      <c r="L32" s="9" t="s">
        <v>23</v>
      </c>
      <c r="M32" s="13" t="s">
        <v>159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63</v>
      </c>
      <c r="B33" s="1">
        <v>44541</v>
      </c>
      <c r="C33">
        <v>11</v>
      </c>
      <c r="D33" t="s">
        <v>19</v>
      </c>
      <c r="E33">
        <v>2021</v>
      </c>
      <c r="F33">
        <v>24</v>
      </c>
      <c r="G33" s="17" t="s">
        <v>31</v>
      </c>
      <c r="H33" t="s">
        <v>148</v>
      </c>
      <c r="I33" s="7" t="s">
        <v>64</v>
      </c>
      <c r="J33" s="11" t="s">
        <v>65</v>
      </c>
      <c r="K33" s="9" t="s">
        <v>22</v>
      </c>
      <c r="L33" s="9" t="s">
        <v>23</v>
      </c>
      <c r="M33" s="13" t="s">
        <v>159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66</v>
      </c>
      <c r="B34" s="1">
        <v>44541</v>
      </c>
      <c r="C34">
        <v>11</v>
      </c>
      <c r="D34" t="s">
        <v>19</v>
      </c>
      <c r="E34">
        <v>2021</v>
      </c>
      <c r="F34">
        <v>41</v>
      </c>
      <c r="G34" s="17" t="s">
        <v>20</v>
      </c>
      <c r="H34" t="s">
        <v>148</v>
      </c>
      <c r="I34" s="7" t="s">
        <v>156</v>
      </c>
      <c r="J34" s="11" t="s">
        <v>28</v>
      </c>
      <c r="K34" s="9" t="s">
        <v>22</v>
      </c>
      <c r="L34" s="9" t="s">
        <v>23</v>
      </c>
      <c r="M34" s="13" t="s">
        <v>166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67</v>
      </c>
      <c r="B35" s="1">
        <v>44541</v>
      </c>
      <c r="C35">
        <v>11</v>
      </c>
      <c r="D35" t="s">
        <v>19</v>
      </c>
      <c r="E35">
        <v>2021</v>
      </c>
      <c r="F35">
        <v>27</v>
      </c>
      <c r="G35" s="17" t="s">
        <v>27</v>
      </c>
      <c r="H35" t="s">
        <v>151</v>
      </c>
      <c r="I35" s="7" t="s">
        <v>163</v>
      </c>
      <c r="J35" s="11" t="s">
        <v>43</v>
      </c>
      <c r="K35" s="9" t="s">
        <v>22</v>
      </c>
      <c r="L35" s="9" t="s">
        <v>23</v>
      </c>
      <c r="M35" s="13" t="s">
        <v>150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68</v>
      </c>
      <c r="B36" s="1">
        <v>44541</v>
      </c>
      <c r="C36">
        <v>11</v>
      </c>
      <c r="D36" t="s">
        <v>19</v>
      </c>
      <c r="E36">
        <v>2021</v>
      </c>
      <c r="F36">
        <v>37</v>
      </c>
      <c r="G36" s="17" t="s">
        <v>20</v>
      </c>
      <c r="H36" t="s">
        <v>151</v>
      </c>
      <c r="I36" s="7" t="s">
        <v>149</v>
      </c>
      <c r="J36" s="11" t="s">
        <v>21</v>
      </c>
      <c r="K36" s="9" t="s">
        <v>22</v>
      </c>
      <c r="L36" s="9" t="s">
        <v>23</v>
      </c>
      <c r="M36" s="13" t="s">
        <v>155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69</v>
      </c>
      <c r="B37" s="1">
        <v>44541</v>
      </c>
      <c r="C37">
        <v>11</v>
      </c>
      <c r="D37" t="s">
        <v>19</v>
      </c>
      <c r="E37">
        <v>2021</v>
      </c>
      <c r="F37">
        <v>38</v>
      </c>
      <c r="G37" s="17" t="s">
        <v>20</v>
      </c>
      <c r="H37" t="s">
        <v>148</v>
      </c>
      <c r="I37" s="7" t="s">
        <v>149</v>
      </c>
      <c r="J37" s="11" t="s">
        <v>21</v>
      </c>
      <c r="K37" s="9" t="s">
        <v>22</v>
      </c>
      <c r="L37" s="9" t="s">
        <v>23</v>
      </c>
      <c r="M37" s="13" t="s">
        <v>162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70</v>
      </c>
      <c r="B38" s="1">
        <v>44542</v>
      </c>
      <c r="C38">
        <v>12</v>
      </c>
      <c r="D38" t="s">
        <v>19</v>
      </c>
      <c r="E38">
        <v>2021</v>
      </c>
      <c r="F38">
        <v>36</v>
      </c>
      <c r="G38" s="17" t="s">
        <v>20</v>
      </c>
      <c r="H38" t="s">
        <v>148</v>
      </c>
      <c r="I38" s="7" t="s">
        <v>156</v>
      </c>
      <c r="J38" s="11" t="s">
        <v>28</v>
      </c>
      <c r="K38" s="9" t="s">
        <v>22</v>
      </c>
      <c r="L38" s="9" t="s">
        <v>23</v>
      </c>
      <c r="M38" s="13" t="s">
        <v>153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71</v>
      </c>
      <c r="B39" s="1">
        <v>44542</v>
      </c>
      <c r="C39">
        <v>12</v>
      </c>
      <c r="D39" t="s">
        <v>19</v>
      </c>
      <c r="E39">
        <v>2021</v>
      </c>
      <c r="F39">
        <v>37</v>
      </c>
      <c r="G39" s="17" t="s">
        <v>20</v>
      </c>
      <c r="H39" t="s">
        <v>151</v>
      </c>
      <c r="I39" s="7" t="s">
        <v>149</v>
      </c>
      <c r="J39" s="11" t="s">
        <v>21</v>
      </c>
      <c r="K39" s="9" t="s">
        <v>22</v>
      </c>
      <c r="L39" s="9" t="s">
        <v>23</v>
      </c>
      <c r="M39" s="13" t="s">
        <v>155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72</v>
      </c>
      <c r="B40" s="1">
        <v>44542</v>
      </c>
      <c r="C40">
        <v>12</v>
      </c>
      <c r="D40" t="s">
        <v>19</v>
      </c>
      <c r="E40">
        <v>2021</v>
      </c>
      <c r="F40">
        <v>34</v>
      </c>
      <c r="G40" s="17" t="s">
        <v>27</v>
      </c>
      <c r="H40" t="s">
        <v>151</v>
      </c>
      <c r="I40" s="7" t="s">
        <v>156</v>
      </c>
      <c r="J40" s="11" t="s">
        <v>28</v>
      </c>
      <c r="K40" s="9" t="s">
        <v>22</v>
      </c>
      <c r="L40" s="9" t="s">
        <v>23</v>
      </c>
      <c r="M40" s="13" t="s">
        <v>159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73</v>
      </c>
      <c r="B41" s="1">
        <v>44542</v>
      </c>
      <c r="C41">
        <v>12</v>
      </c>
      <c r="D41" t="s">
        <v>19</v>
      </c>
      <c r="E41">
        <v>2021</v>
      </c>
      <c r="F41">
        <v>35</v>
      </c>
      <c r="G41" s="17" t="s">
        <v>20</v>
      </c>
      <c r="H41" t="s">
        <v>148</v>
      </c>
      <c r="I41" s="7" t="s">
        <v>156</v>
      </c>
      <c r="J41" s="11" t="s">
        <v>54</v>
      </c>
      <c r="K41" s="9" t="s">
        <v>22</v>
      </c>
      <c r="L41" s="9" t="s">
        <v>23</v>
      </c>
      <c r="M41" s="13" t="s">
        <v>153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74</v>
      </c>
      <c r="B42" s="1">
        <v>44542</v>
      </c>
      <c r="C42">
        <v>12</v>
      </c>
      <c r="D42" t="s">
        <v>19</v>
      </c>
      <c r="E42">
        <v>2021</v>
      </c>
      <c r="F42">
        <v>38</v>
      </c>
      <c r="G42" s="17" t="s">
        <v>20</v>
      </c>
      <c r="H42" t="s">
        <v>148</v>
      </c>
      <c r="I42" s="7" t="s">
        <v>149</v>
      </c>
      <c r="J42" s="11" t="s">
        <v>33</v>
      </c>
      <c r="K42" s="9" t="s">
        <v>22</v>
      </c>
      <c r="L42" s="9" t="s">
        <v>23</v>
      </c>
      <c r="M42" s="13" t="s">
        <v>153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75</v>
      </c>
      <c r="B43" s="1">
        <v>44543</v>
      </c>
      <c r="C43">
        <v>13</v>
      </c>
      <c r="D43" t="s">
        <v>19</v>
      </c>
      <c r="E43">
        <v>2021</v>
      </c>
      <c r="F43">
        <v>32</v>
      </c>
      <c r="G43" s="17" t="s">
        <v>27</v>
      </c>
      <c r="H43" t="s">
        <v>148</v>
      </c>
      <c r="I43" s="7" t="s">
        <v>156</v>
      </c>
      <c r="J43" s="11" t="s">
        <v>39</v>
      </c>
      <c r="K43" s="9" t="s">
        <v>22</v>
      </c>
      <c r="L43" s="9" t="s">
        <v>23</v>
      </c>
      <c r="M43" s="13" t="s">
        <v>153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76</v>
      </c>
      <c r="B44" s="1">
        <v>44543</v>
      </c>
      <c r="C44">
        <v>13</v>
      </c>
      <c r="D44" t="s">
        <v>19</v>
      </c>
      <c r="E44">
        <v>2021</v>
      </c>
      <c r="F44">
        <v>40</v>
      </c>
      <c r="G44" s="17" t="s">
        <v>20</v>
      </c>
      <c r="H44" t="s">
        <v>148</v>
      </c>
      <c r="I44" s="7" t="s">
        <v>149</v>
      </c>
      <c r="J44" s="11" t="s">
        <v>21</v>
      </c>
      <c r="K44" s="9" t="s">
        <v>22</v>
      </c>
      <c r="L44" s="9" t="s">
        <v>23</v>
      </c>
      <c r="M44" s="13" t="s">
        <v>172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77</v>
      </c>
      <c r="B45" s="1">
        <v>44543</v>
      </c>
      <c r="C45">
        <v>13</v>
      </c>
      <c r="D45" t="s">
        <v>19</v>
      </c>
      <c r="E45">
        <v>2021</v>
      </c>
      <c r="F45">
        <v>44</v>
      </c>
      <c r="G45" s="17" t="s">
        <v>20</v>
      </c>
      <c r="H45" t="s">
        <v>148</v>
      </c>
      <c r="I45" s="7" t="s">
        <v>152</v>
      </c>
      <c r="J45" s="11" t="s">
        <v>24</v>
      </c>
      <c r="K45" s="9" t="s">
        <v>22</v>
      </c>
      <c r="L45" s="9" t="s">
        <v>23</v>
      </c>
      <c r="M45" s="13" t="s">
        <v>159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78</v>
      </c>
      <c r="B46" s="1">
        <v>44543</v>
      </c>
      <c r="C46">
        <v>13</v>
      </c>
      <c r="D46" t="s">
        <v>19</v>
      </c>
      <c r="E46">
        <v>2021</v>
      </c>
      <c r="F46">
        <v>49</v>
      </c>
      <c r="G46" s="17" t="s">
        <v>20</v>
      </c>
      <c r="H46" t="s">
        <v>151</v>
      </c>
      <c r="I46" s="7" t="s">
        <v>152</v>
      </c>
      <c r="J46" s="11" t="s">
        <v>24</v>
      </c>
      <c r="K46" s="9" t="s">
        <v>22</v>
      </c>
      <c r="L46" s="9" t="s">
        <v>23</v>
      </c>
      <c r="M46" s="13" t="s">
        <v>159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79</v>
      </c>
      <c r="B47" s="1">
        <v>44544</v>
      </c>
      <c r="C47">
        <v>14</v>
      </c>
      <c r="D47" t="s">
        <v>19</v>
      </c>
      <c r="E47">
        <v>2021</v>
      </c>
      <c r="F47">
        <v>30</v>
      </c>
      <c r="G47" s="17" t="s">
        <v>27</v>
      </c>
      <c r="H47" t="s">
        <v>148</v>
      </c>
      <c r="I47" s="7" t="s">
        <v>149</v>
      </c>
      <c r="J47" s="11" t="s">
        <v>33</v>
      </c>
      <c r="K47" s="9" t="s">
        <v>22</v>
      </c>
      <c r="L47" s="9" t="s">
        <v>23</v>
      </c>
      <c r="M47" s="13" t="s">
        <v>162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80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s="17" t="s">
        <v>27</v>
      </c>
      <c r="H48" t="s">
        <v>151</v>
      </c>
      <c r="I48" s="7" t="s">
        <v>149</v>
      </c>
      <c r="J48" s="11" t="s">
        <v>21</v>
      </c>
      <c r="K48" s="9" t="s">
        <v>22</v>
      </c>
      <c r="L48" s="9" t="s">
        <v>23</v>
      </c>
      <c r="M48" s="13" t="s">
        <v>150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81</v>
      </c>
      <c r="B49" s="1">
        <v>44544</v>
      </c>
      <c r="C49">
        <v>14</v>
      </c>
      <c r="D49" t="s">
        <v>19</v>
      </c>
      <c r="E49">
        <v>2021</v>
      </c>
      <c r="F49">
        <v>32</v>
      </c>
      <c r="G49" s="17" t="s">
        <v>27</v>
      </c>
      <c r="H49" t="s">
        <v>148</v>
      </c>
      <c r="I49" s="7" t="s">
        <v>156</v>
      </c>
      <c r="J49" s="11" t="s">
        <v>54</v>
      </c>
      <c r="K49" s="9" t="s">
        <v>22</v>
      </c>
      <c r="L49" s="9" t="s">
        <v>23</v>
      </c>
      <c r="M49" s="13" t="s">
        <v>155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82</v>
      </c>
      <c r="B50" s="1">
        <v>44545</v>
      </c>
      <c r="C50">
        <v>15</v>
      </c>
      <c r="D50" t="s">
        <v>19</v>
      </c>
      <c r="E50">
        <v>2021</v>
      </c>
      <c r="F50">
        <v>29</v>
      </c>
      <c r="G50" s="17" t="s">
        <v>27</v>
      </c>
      <c r="H50" t="s">
        <v>148</v>
      </c>
      <c r="I50" s="7" t="s">
        <v>149</v>
      </c>
      <c r="J50" s="11" t="s">
        <v>21</v>
      </c>
      <c r="K50" s="9" t="s">
        <v>22</v>
      </c>
      <c r="L50" s="9" t="s">
        <v>23</v>
      </c>
      <c r="M50" s="13" t="s">
        <v>153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83</v>
      </c>
      <c r="B51" s="1">
        <v>44546</v>
      </c>
      <c r="C51">
        <v>16</v>
      </c>
      <c r="D51" t="s">
        <v>19</v>
      </c>
      <c r="E51">
        <v>2021</v>
      </c>
      <c r="F51">
        <v>33</v>
      </c>
      <c r="G51" s="17" t="s">
        <v>27</v>
      </c>
      <c r="H51" t="s">
        <v>148</v>
      </c>
      <c r="I51" s="7" t="s">
        <v>156</v>
      </c>
      <c r="J51" s="11" t="s">
        <v>28</v>
      </c>
      <c r="K51" s="9" t="s">
        <v>22</v>
      </c>
      <c r="L51" s="9" t="s">
        <v>23</v>
      </c>
      <c r="M51" s="13" t="s">
        <v>159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84</v>
      </c>
      <c r="B52" s="1">
        <v>44546</v>
      </c>
      <c r="C52">
        <v>16</v>
      </c>
      <c r="D52" t="s">
        <v>19</v>
      </c>
      <c r="E52">
        <v>2021</v>
      </c>
      <c r="F52">
        <v>38</v>
      </c>
      <c r="G52" s="17" t="s">
        <v>20</v>
      </c>
      <c r="H52" t="s">
        <v>151</v>
      </c>
      <c r="I52" s="7" t="s">
        <v>156</v>
      </c>
      <c r="J52" s="11" t="s">
        <v>28</v>
      </c>
      <c r="K52" s="9" t="s">
        <v>22</v>
      </c>
      <c r="L52" s="9" t="s">
        <v>23</v>
      </c>
      <c r="M52" s="13" t="s">
        <v>159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85</v>
      </c>
      <c r="B53" s="1">
        <v>44546</v>
      </c>
      <c r="C53">
        <v>16</v>
      </c>
      <c r="D53" t="s">
        <v>19</v>
      </c>
      <c r="E53">
        <v>2021</v>
      </c>
      <c r="F53">
        <v>27</v>
      </c>
      <c r="G53" s="17" t="s">
        <v>27</v>
      </c>
      <c r="H53" t="s">
        <v>148</v>
      </c>
      <c r="I53" s="7" t="s">
        <v>64</v>
      </c>
      <c r="J53" s="11" t="s">
        <v>86</v>
      </c>
      <c r="K53" s="9" t="s">
        <v>22</v>
      </c>
      <c r="L53" s="9" t="s">
        <v>23</v>
      </c>
      <c r="M53" s="13" t="s">
        <v>173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87</v>
      </c>
      <c r="B54" s="1">
        <v>44547</v>
      </c>
      <c r="C54">
        <v>17</v>
      </c>
      <c r="D54" t="s">
        <v>19</v>
      </c>
      <c r="E54">
        <v>2021</v>
      </c>
      <c r="F54">
        <v>37</v>
      </c>
      <c r="G54" s="17" t="s">
        <v>20</v>
      </c>
      <c r="H54" t="s">
        <v>148</v>
      </c>
      <c r="I54" s="7" t="s">
        <v>149</v>
      </c>
      <c r="J54" s="11" t="s">
        <v>33</v>
      </c>
      <c r="K54" s="9" t="s">
        <v>22</v>
      </c>
      <c r="L54" s="9" t="s">
        <v>23</v>
      </c>
      <c r="M54" s="13" t="s">
        <v>162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88</v>
      </c>
      <c r="B55" s="1">
        <v>44547</v>
      </c>
      <c r="C55">
        <v>17</v>
      </c>
      <c r="D55" t="s">
        <v>19</v>
      </c>
      <c r="E55">
        <v>2021</v>
      </c>
      <c r="F55">
        <v>31</v>
      </c>
      <c r="G55" s="17" t="s">
        <v>27</v>
      </c>
      <c r="H55" t="s">
        <v>151</v>
      </c>
      <c r="I55" s="7" t="s">
        <v>156</v>
      </c>
      <c r="J55" s="11" t="s">
        <v>28</v>
      </c>
      <c r="K55" s="9" t="s">
        <v>22</v>
      </c>
      <c r="L55" s="9" t="s">
        <v>23</v>
      </c>
      <c r="M55" s="13" t="s">
        <v>157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89</v>
      </c>
      <c r="B56" s="1">
        <v>44547</v>
      </c>
      <c r="C56">
        <v>17</v>
      </c>
      <c r="D56" t="s">
        <v>19</v>
      </c>
      <c r="E56">
        <v>2021</v>
      </c>
      <c r="F56">
        <v>42</v>
      </c>
      <c r="G56" s="17" t="s">
        <v>20</v>
      </c>
      <c r="H56" t="s">
        <v>148</v>
      </c>
      <c r="I56" s="7" t="s">
        <v>161</v>
      </c>
      <c r="J56" s="11" t="s">
        <v>37</v>
      </c>
      <c r="K56" s="9" t="s">
        <v>22</v>
      </c>
      <c r="L56" s="9" t="s">
        <v>23</v>
      </c>
      <c r="M56" s="13" t="s">
        <v>173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90</v>
      </c>
      <c r="B57" s="1">
        <v>44548</v>
      </c>
      <c r="C57">
        <v>18</v>
      </c>
      <c r="D57" t="s">
        <v>19</v>
      </c>
      <c r="E57">
        <v>2021</v>
      </c>
      <c r="F57">
        <v>35</v>
      </c>
      <c r="G57" s="17" t="s">
        <v>20</v>
      </c>
      <c r="H57" t="s">
        <v>148</v>
      </c>
      <c r="I57" s="7" t="s">
        <v>156</v>
      </c>
      <c r="J57" s="11" t="s">
        <v>28</v>
      </c>
      <c r="K57" s="9" t="s">
        <v>22</v>
      </c>
      <c r="L57" s="9" t="s">
        <v>23</v>
      </c>
      <c r="M57" s="13" t="s">
        <v>167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91</v>
      </c>
      <c r="B58" s="1">
        <v>44548</v>
      </c>
      <c r="C58">
        <v>18</v>
      </c>
      <c r="D58" t="s">
        <v>19</v>
      </c>
      <c r="E58">
        <v>2021</v>
      </c>
      <c r="F58">
        <v>38</v>
      </c>
      <c r="G58" s="17" t="s">
        <v>20</v>
      </c>
      <c r="H58" t="s">
        <v>148</v>
      </c>
      <c r="I58" s="7" t="s">
        <v>161</v>
      </c>
      <c r="J58" s="11" t="s">
        <v>37</v>
      </c>
      <c r="K58" s="9" t="s">
        <v>22</v>
      </c>
      <c r="L58" s="9" t="s">
        <v>23</v>
      </c>
      <c r="M58" s="13" t="s">
        <v>173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92</v>
      </c>
      <c r="B59" s="1">
        <v>44548</v>
      </c>
      <c r="C59">
        <v>18</v>
      </c>
      <c r="D59" t="s">
        <v>19</v>
      </c>
      <c r="E59">
        <v>2021</v>
      </c>
      <c r="F59">
        <v>24</v>
      </c>
      <c r="G59" s="17" t="s">
        <v>31</v>
      </c>
      <c r="H59" t="s">
        <v>148</v>
      </c>
      <c r="I59" s="7" t="s">
        <v>64</v>
      </c>
      <c r="J59" s="11" t="s">
        <v>93</v>
      </c>
      <c r="K59" s="9" t="s">
        <v>22</v>
      </c>
      <c r="L59" s="9" t="s">
        <v>23</v>
      </c>
      <c r="M59" s="13" t="s">
        <v>162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94</v>
      </c>
      <c r="B60" s="1">
        <v>44548</v>
      </c>
      <c r="C60">
        <v>18</v>
      </c>
      <c r="D60" t="s">
        <v>19</v>
      </c>
      <c r="E60">
        <v>2021</v>
      </c>
      <c r="F60">
        <v>26</v>
      </c>
      <c r="G60" s="17" t="s">
        <v>27</v>
      </c>
      <c r="H60" t="s">
        <v>148</v>
      </c>
      <c r="I60" s="7" t="s">
        <v>152</v>
      </c>
      <c r="J60" s="11" t="s">
        <v>24</v>
      </c>
      <c r="K60" s="9" t="s">
        <v>22</v>
      </c>
      <c r="L60" s="9" t="s">
        <v>23</v>
      </c>
      <c r="M60" s="13" t="s">
        <v>157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95</v>
      </c>
      <c r="B61" s="1">
        <v>44548</v>
      </c>
      <c r="C61">
        <v>18</v>
      </c>
      <c r="D61" t="s">
        <v>19</v>
      </c>
      <c r="E61">
        <v>2021</v>
      </c>
      <c r="F61">
        <v>39</v>
      </c>
      <c r="G61" s="17" t="s">
        <v>20</v>
      </c>
      <c r="H61" t="s">
        <v>151</v>
      </c>
      <c r="I61" s="7" t="s">
        <v>149</v>
      </c>
      <c r="J61" s="11" t="s">
        <v>21</v>
      </c>
      <c r="K61" s="9" t="s">
        <v>22</v>
      </c>
      <c r="L61" s="9" t="s">
        <v>23</v>
      </c>
      <c r="M61" s="13" t="s">
        <v>164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96</v>
      </c>
      <c r="B62" s="1">
        <v>44548</v>
      </c>
      <c r="C62">
        <v>18</v>
      </c>
      <c r="D62" t="s">
        <v>19</v>
      </c>
      <c r="E62">
        <v>2021</v>
      </c>
      <c r="F62">
        <v>26</v>
      </c>
      <c r="G62" s="17" t="s">
        <v>27</v>
      </c>
      <c r="H62" t="s">
        <v>151</v>
      </c>
      <c r="I62" s="7" t="s">
        <v>64</v>
      </c>
      <c r="J62" s="11" t="s">
        <v>65</v>
      </c>
      <c r="K62" s="9" t="s">
        <v>22</v>
      </c>
      <c r="L62" s="9" t="s">
        <v>23</v>
      </c>
      <c r="M62" s="13" t="s">
        <v>150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97</v>
      </c>
      <c r="B63" s="1">
        <v>44548</v>
      </c>
      <c r="C63">
        <v>18</v>
      </c>
      <c r="D63" t="s">
        <v>19</v>
      </c>
      <c r="E63">
        <v>2021</v>
      </c>
      <c r="F63">
        <v>36</v>
      </c>
      <c r="G63" s="17" t="s">
        <v>20</v>
      </c>
      <c r="H63" t="s">
        <v>151</v>
      </c>
      <c r="I63" s="7" t="s">
        <v>149</v>
      </c>
      <c r="J63" s="11" t="s">
        <v>33</v>
      </c>
      <c r="K63" s="9" t="s">
        <v>22</v>
      </c>
      <c r="L63" s="9" t="s">
        <v>23</v>
      </c>
      <c r="M63" s="13" t="s">
        <v>162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98</v>
      </c>
      <c r="B64" s="1">
        <v>44549</v>
      </c>
      <c r="C64">
        <v>19</v>
      </c>
      <c r="D64" t="s">
        <v>19</v>
      </c>
      <c r="E64">
        <v>2021</v>
      </c>
      <c r="F64">
        <v>17</v>
      </c>
      <c r="G64" s="17" t="s">
        <v>31</v>
      </c>
      <c r="H64" t="s">
        <v>151</v>
      </c>
      <c r="I64" s="7" t="s">
        <v>64</v>
      </c>
      <c r="J64" s="11" t="s">
        <v>99</v>
      </c>
      <c r="K64" s="9" t="s">
        <v>22</v>
      </c>
      <c r="L64" s="9" t="s">
        <v>23</v>
      </c>
      <c r="M64" s="13" t="s">
        <v>173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100</v>
      </c>
      <c r="B65" s="1">
        <v>44549</v>
      </c>
      <c r="C65">
        <v>19</v>
      </c>
      <c r="D65" t="s">
        <v>19</v>
      </c>
      <c r="E65">
        <v>2021</v>
      </c>
      <c r="F65">
        <v>19</v>
      </c>
      <c r="G65" s="17" t="s">
        <v>31</v>
      </c>
      <c r="H65" t="s">
        <v>148</v>
      </c>
      <c r="I65" s="7" t="s">
        <v>156</v>
      </c>
      <c r="J65" s="11" t="s">
        <v>54</v>
      </c>
      <c r="K65" s="9" t="s">
        <v>22</v>
      </c>
      <c r="L65" s="9" t="s">
        <v>23</v>
      </c>
      <c r="M65" s="13" t="s">
        <v>174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101</v>
      </c>
      <c r="B66" s="1">
        <v>44549</v>
      </c>
      <c r="C66">
        <v>19</v>
      </c>
      <c r="D66" t="s">
        <v>19</v>
      </c>
      <c r="E66">
        <v>2021</v>
      </c>
      <c r="F66">
        <v>25</v>
      </c>
      <c r="G66" s="17" t="s">
        <v>27</v>
      </c>
      <c r="H66" t="s">
        <v>151</v>
      </c>
      <c r="I66" s="7" t="s">
        <v>64</v>
      </c>
      <c r="J66" s="11" t="s">
        <v>65</v>
      </c>
      <c r="K66" s="9" t="s">
        <v>22</v>
      </c>
      <c r="L66" s="9" t="s">
        <v>23</v>
      </c>
      <c r="M66" s="13" t="s">
        <v>159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102</v>
      </c>
      <c r="B67" s="1">
        <v>44549</v>
      </c>
      <c r="C67">
        <v>19</v>
      </c>
      <c r="D67" t="s">
        <v>19</v>
      </c>
      <c r="E67">
        <v>2021</v>
      </c>
      <c r="F67">
        <v>35</v>
      </c>
      <c r="G67" s="17" t="s">
        <v>20</v>
      </c>
      <c r="H67" t="s">
        <v>148</v>
      </c>
      <c r="I67" s="7" t="s">
        <v>149</v>
      </c>
      <c r="J67" s="11" t="s">
        <v>51</v>
      </c>
      <c r="K67" s="9" t="s">
        <v>22</v>
      </c>
      <c r="L67" s="9" t="s">
        <v>23</v>
      </c>
      <c r="M67" s="13" t="s">
        <v>175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103</v>
      </c>
      <c r="B68" s="1">
        <v>44549</v>
      </c>
      <c r="C68">
        <v>19</v>
      </c>
      <c r="D68" t="s">
        <v>19</v>
      </c>
      <c r="E68">
        <v>2021</v>
      </c>
      <c r="F68">
        <v>37</v>
      </c>
      <c r="G68" s="17" t="s">
        <v>20</v>
      </c>
      <c r="H68" t="s">
        <v>151</v>
      </c>
      <c r="I68" s="7" t="s">
        <v>149</v>
      </c>
      <c r="J68" s="11" t="s">
        <v>51</v>
      </c>
      <c r="K68" s="9" t="s">
        <v>22</v>
      </c>
      <c r="L68" s="9" t="s">
        <v>23</v>
      </c>
      <c r="M68" s="13" t="s">
        <v>159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2">N68*O68</f>
        <v>5008</v>
      </c>
      <c r="S68" s="2">
        <f t="shared" ref="S68:S90" si="3">N68*P68</f>
        <v>9180</v>
      </c>
    </row>
    <row r="69" spans="1:19" x14ac:dyDescent="0.25">
      <c r="A69" s="3" t="s">
        <v>104</v>
      </c>
      <c r="B69" s="1">
        <v>44549</v>
      </c>
      <c r="C69">
        <v>19</v>
      </c>
      <c r="D69" t="s">
        <v>19</v>
      </c>
      <c r="E69">
        <v>2021</v>
      </c>
      <c r="F69">
        <v>39</v>
      </c>
      <c r="G69" s="17" t="s">
        <v>20</v>
      </c>
      <c r="H69" t="s">
        <v>148</v>
      </c>
      <c r="I69" s="7" t="s">
        <v>149</v>
      </c>
      <c r="J69" s="11" t="s">
        <v>21</v>
      </c>
      <c r="K69" s="9" t="s">
        <v>22</v>
      </c>
      <c r="L69" s="9" t="s">
        <v>23</v>
      </c>
      <c r="M69" s="13" t="s">
        <v>150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105</v>
      </c>
      <c r="B70" s="1">
        <v>44549</v>
      </c>
      <c r="C70">
        <v>19</v>
      </c>
      <c r="D70" t="s">
        <v>19</v>
      </c>
      <c r="E70">
        <v>2021</v>
      </c>
      <c r="F70">
        <v>63</v>
      </c>
      <c r="G70" s="17" t="s">
        <v>20</v>
      </c>
      <c r="H70" t="s">
        <v>148</v>
      </c>
      <c r="I70" s="7" t="s">
        <v>156</v>
      </c>
      <c r="J70" s="11" t="s">
        <v>39</v>
      </c>
      <c r="K70" s="9" t="s">
        <v>22</v>
      </c>
      <c r="L70" s="9" t="s">
        <v>23</v>
      </c>
      <c r="M70" s="13" t="s">
        <v>150</v>
      </c>
      <c r="N70">
        <v>4</v>
      </c>
      <c r="O70" s="2">
        <v>1252</v>
      </c>
      <c r="P70" s="2">
        <v>2295</v>
      </c>
      <c r="Q70" s="2">
        <v>4172</v>
      </c>
      <c r="R70" s="2">
        <f t="shared" si="2"/>
        <v>5008</v>
      </c>
      <c r="S70" s="2">
        <f t="shared" si="3"/>
        <v>9180</v>
      </c>
    </row>
    <row r="71" spans="1:19" x14ac:dyDescent="0.25">
      <c r="A71" s="3" t="s">
        <v>106</v>
      </c>
      <c r="B71" s="1">
        <v>44549</v>
      </c>
      <c r="C71">
        <v>19</v>
      </c>
      <c r="D71" t="s">
        <v>19</v>
      </c>
      <c r="E71">
        <v>2021</v>
      </c>
      <c r="F71">
        <v>18</v>
      </c>
      <c r="G71" s="17" t="s">
        <v>31</v>
      </c>
      <c r="H71" t="s">
        <v>151</v>
      </c>
      <c r="I71" s="7" t="s">
        <v>156</v>
      </c>
      <c r="J71" s="11" t="s">
        <v>107</v>
      </c>
      <c r="K71" s="9" t="s">
        <v>22</v>
      </c>
      <c r="L71" s="9" t="s">
        <v>23</v>
      </c>
      <c r="M71" s="13" t="s">
        <v>170</v>
      </c>
      <c r="N71">
        <v>2</v>
      </c>
      <c r="O71" s="2">
        <v>295</v>
      </c>
      <c r="P71" s="2">
        <v>540</v>
      </c>
      <c r="Q71" s="2">
        <v>490</v>
      </c>
      <c r="R71" s="2">
        <f t="shared" si="2"/>
        <v>590</v>
      </c>
      <c r="S71" s="2">
        <f t="shared" si="3"/>
        <v>1080</v>
      </c>
    </row>
    <row r="72" spans="1:19" x14ac:dyDescent="0.25">
      <c r="A72" s="3" t="s">
        <v>108</v>
      </c>
      <c r="B72" s="1">
        <v>44549</v>
      </c>
      <c r="C72">
        <v>19</v>
      </c>
      <c r="D72" t="s">
        <v>19</v>
      </c>
      <c r="E72">
        <v>2021</v>
      </c>
      <c r="F72">
        <v>56</v>
      </c>
      <c r="G72" s="17" t="s">
        <v>20</v>
      </c>
      <c r="H72" t="s">
        <v>148</v>
      </c>
      <c r="I72" s="7" t="s">
        <v>161</v>
      </c>
      <c r="J72" s="11" t="s">
        <v>109</v>
      </c>
      <c r="K72" s="9" t="s">
        <v>22</v>
      </c>
      <c r="L72" s="9" t="s">
        <v>23</v>
      </c>
      <c r="M72" s="13" t="s">
        <v>150</v>
      </c>
      <c r="N72">
        <v>2</v>
      </c>
      <c r="O72" s="2">
        <v>1252</v>
      </c>
      <c r="P72" s="2">
        <v>2295</v>
      </c>
      <c r="Q72" s="2">
        <v>2086</v>
      </c>
      <c r="R72" s="2">
        <f t="shared" si="2"/>
        <v>2504</v>
      </c>
      <c r="S72" s="2">
        <f t="shared" si="3"/>
        <v>4590</v>
      </c>
    </row>
    <row r="73" spans="1:19" x14ac:dyDescent="0.25">
      <c r="A73" s="3" t="s">
        <v>110</v>
      </c>
      <c r="B73" s="1">
        <v>44549</v>
      </c>
      <c r="C73">
        <v>19</v>
      </c>
      <c r="D73" t="s">
        <v>19</v>
      </c>
      <c r="E73">
        <v>2021</v>
      </c>
      <c r="F73">
        <v>39</v>
      </c>
      <c r="G73" s="17" t="s">
        <v>20</v>
      </c>
      <c r="H73" t="s">
        <v>148</v>
      </c>
      <c r="I73" s="7" t="s">
        <v>149</v>
      </c>
      <c r="J73" s="11" t="s">
        <v>33</v>
      </c>
      <c r="K73" s="9" t="s">
        <v>22</v>
      </c>
      <c r="L73" s="9" t="s">
        <v>23</v>
      </c>
      <c r="M73" s="13" t="s">
        <v>162</v>
      </c>
      <c r="N73">
        <v>1</v>
      </c>
      <c r="O73" s="2">
        <v>1266</v>
      </c>
      <c r="P73" s="2">
        <v>2320</v>
      </c>
      <c r="Q73" s="2">
        <v>1054</v>
      </c>
      <c r="R73" s="2">
        <f t="shared" si="2"/>
        <v>1266</v>
      </c>
      <c r="S73" s="2">
        <f t="shared" si="3"/>
        <v>2320</v>
      </c>
    </row>
    <row r="74" spans="1:19" x14ac:dyDescent="0.25">
      <c r="A74" s="3" t="s">
        <v>111</v>
      </c>
      <c r="B74" s="1">
        <v>44550</v>
      </c>
      <c r="C74">
        <v>20</v>
      </c>
      <c r="D74" t="s">
        <v>19</v>
      </c>
      <c r="E74">
        <v>2021</v>
      </c>
      <c r="F74">
        <v>33</v>
      </c>
      <c r="G74" s="17" t="s">
        <v>27</v>
      </c>
      <c r="H74" t="s">
        <v>148</v>
      </c>
      <c r="I74" s="7" t="s">
        <v>156</v>
      </c>
      <c r="J74" s="11" t="s">
        <v>54</v>
      </c>
      <c r="K74" s="9" t="s">
        <v>22</v>
      </c>
      <c r="L74" s="9" t="s">
        <v>23</v>
      </c>
      <c r="M74" s="13" t="s">
        <v>169</v>
      </c>
      <c r="N74">
        <v>4</v>
      </c>
      <c r="O74" s="2">
        <v>1898</v>
      </c>
      <c r="P74" s="2">
        <v>3375</v>
      </c>
      <c r="Q74" s="2">
        <v>5908</v>
      </c>
      <c r="R74" s="2">
        <f t="shared" si="2"/>
        <v>7592</v>
      </c>
      <c r="S74" s="2">
        <f t="shared" si="3"/>
        <v>13500</v>
      </c>
    </row>
    <row r="75" spans="1:19" x14ac:dyDescent="0.25">
      <c r="A75" s="3" t="s">
        <v>112</v>
      </c>
      <c r="B75" s="1">
        <v>44550</v>
      </c>
      <c r="C75">
        <v>20</v>
      </c>
      <c r="D75" t="s">
        <v>19</v>
      </c>
      <c r="E75">
        <v>2021</v>
      </c>
      <c r="F75">
        <v>57</v>
      </c>
      <c r="G75" s="17" t="s">
        <v>20</v>
      </c>
      <c r="H75" t="s">
        <v>151</v>
      </c>
      <c r="I75" s="7" t="s">
        <v>156</v>
      </c>
      <c r="J75" s="11" t="s">
        <v>39</v>
      </c>
      <c r="K75" s="9" t="s">
        <v>22</v>
      </c>
      <c r="L75" s="9" t="s">
        <v>23</v>
      </c>
      <c r="M75" s="13" t="s">
        <v>150</v>
      </c>
      <c r="N75">
        <v>4</v>
      </c>
      <c r="O75" s="2">
        <v>1252</v>
      </c>
      <c r="P75" s="2">
        <v>2295</v>
      </c>
      <c r="Q75" s="2">
        <v>4172</v>
      </c>
      <c r="R75" s="2">
        <f t="shared" si="2"/>
        <v>5008</v>
      </c>
      <c r="S75" s="2">
        <f t="shared" si="3"/>
        <v>9180</v>
      </c>
    </row>
    <row r="76" spans="1:19" x14ac:dyDescent="0.25">
      <c r="A76" s="3" t="s">
        <v>113</v>
      </c>
      <c r="B76" s="1">
        <v>44550</v>
      </c>
      <c r="C76">
        <v>20</v>
      </c>
      <c r="D76" t="s">
        <v>19</v>
      </c>
      <c r="E76">
        <v>2021</v>
      </c>
      <c r="F76">
        <v>29</v>
      </c>
      <c r="G76" s="17" t="s">
        <v>27</v>
      </c>
      <c r="H76" t="s">
        <v>151</v>
      </c>
      <c r="I76" s="7" t="s">
        <v>163</v>
      </c>
      <c r="J76" s="11" t="s">
        <v>43</v>
      </c>
      <c r="K76" s="9" t="s">
        <v>22</v>
      </c>
      <c r="L76" s="9" t="s">
        <v>23</v>
      </c>
      <c r="M76" s="13" t="s">
        <v>176</v>
      </c>
      <c r="N76">
        <v>3</v>
      </c>
      <c r="O76" s="2">
        <v>295</v>
      </c>
      <c r="P76" s="2">
        <v>540</v>
      </c>
      <c r="Q76" s="2">
        <v>735</v>
      </c>
      <c r="R76" s="2">
        <f t="shared" si="2"/>
        <v>885</v>
      </c>
      <c r="S76" s="2">
        <f t="shared" si="3"/>
        <v>1620</v>
      </c>
    </row>
    <row r="77" spans="1:19" x14ac:dyDescent="0.25">
      <c r="A77" s="3" t="s">
        <v>114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s="17" t="s">
        <v>20</v>
      </c>
      <c r="H77" t="s">
        <v>148</v>
      </c>
      <c r="I77" s="7" t="s">
        <v>156</v>
      </c>
      <c r="J77" s="11" t="s">
        <v>39</v>
      </c>
      <c r="K77" s="9" t="s">
        <v>22</v>
      </c>
      <c r="L77" s="9" t="s">
        <v>23</v>
      </c>
      <c r="M77" s="13" t="s">
        <v>162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115</v>
      </c>
      <c r="B78" s="1">
        <v>44550</v>
      </c>
      <c r="C78">
        <v>20</v>
      </c>
      <c r="D78" t="s">
        <v>19</v>
      </c>
      <c r="E78">
        <v>2021</v>
      </c>
      <c r="F78">
        <v>35</v>
      </c>
      <c r="G78" s="17" t="s">
        <v>20</v>
      </c>
      <c r="H78" t="s">
        <v>151</v>
      </c>
      <c r="I78" s="7" t="s">
        <v>156</v>
      </c>
      <c r="J78" s="11" t="s">
        <v>54</v>
      </c>
      <c r="K78" s="9" t="s">
        <v>22</v>
      </c>
      <c r="L78" s="9" t="s">
        <v>23</v>
      </c>
      <c r="M78" s="13" t="s">
        <v>162</v>
      </c>
      <c r="N78">
        <v>1</v>
      </c>
      <c r="O78" s="2">
        <v>1266</v>
      </c>
      <c r="P78" s="2">
        <v>2320</v>
      </c>
      <c r="Q78" s="2">
        <v>1054</v>
      </c>
      <c r="R78" s="2">
        <f t="shared" si="2"/>
        <v>1266</v>
      </c>
      <c r="S78" s="2">
        <f t="shared" si="3"/>
        <v>2320</v>
      </c>
    </row>
    <row r="79" spans="1:19" x14ac:dyDescent="0.25">
      <c r="A79" s="3" t="s">
        <v>116</v>
      </c>
      <c r="B79" s="1">
        <v>44551</v>
      </c>
      <c r="C79">
        <v>21</v>
      </c>
      <c r="D79" t="s">
        <v>19</v>
      </c>
      <c r="E79">
        <v>2021</v>
      </c>
      <c r="F79">
        <v>26</v>
      </c>
      <c r="G79" s="17" t="s">
        <v>27</v>
      </c>
      <c r="H79" t="s">
        <v>151</v>
      </c>
      <c r="I79" s="7" t="s">
        <v>64</v>
      </c>
      <c r="J79" s="11" t="s">
        <v>117</v>
      </c>
      <c r="K79" s="9" t="s">
        <v>22</v>
      </c>
      <c r="L79" s="9" t="s">
        <v>23</v>
      </c>
      <c r="M79" s="13" t="s">
        <v>162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25">
      <c r="A80" s="3" t="s">
        <v>118</v>
      </c>
      <c r="B80" s="1">
        <v>44551</v>
      </c>
      <c r="C80">
        <v>21</v>
      </c>
      <c r="D80" t="s">
        <v>19</v>
      </c>
      <c r="E80">
        <v>2021</v>
      </c>
      <c r="F80">
        <v>23</v>
      </c>
      <c r="G80" s="17" t="s">
        <v>31</v>
      </c>
      <c r="H80" t="s">
        <v>151</v>
      </c>
      <c r="I80" s="7" t="s">
        <v>152</v>
      </c>
      <c r="J80" s="11" t="s">
        <v>24</v>
      </c>
      <c r="K80" s="9" t="s">
        <v>22</v>
      </c>
      <c r="L80" s="9" t="s">
        <v>23</v>
      </c>
      <c r="M80" s="13" t="s">
        <v>155</v>
      </c>
      <c r="N80">
        <v>2</v>
      </c>
      <c r="O80" s="2">
        <v>420</v>
      </c>
      <c r="P80" s="2">
        <v>769</v>
      </c>
      <c r="Q80" s="2">
        <v>698</v>
      </c>
      <c r="R80" s="2">
        <f t="shared" si="2"/>
        <v>840</v>
      </c>
      <c r="S80" s="2">
        <f t="shared" si="3"/>
        <v>1538</v>
      </c>
    </row>
    <row r="81" spans="1:19" x14ac:dyDescent="0.25">
      <c r="A81" s="3" t="s">
        <v>119</v>
      </c>
      <c r="B81" s="1">
        <v>44552</v>
      </c>
      <c r="C81">
        <v>22</v>
      </c>
      <c r="D81" t="s">
        <v>19</v>
      </c>
      <c r="E81">
        <v>2021</v>
      </c>
      <c r="F81">
        <v>30</v>
      </c>
      <c r="G81" s="17" t="s">
        <v>27</v>
      </c>
      <c r="H81" t="s">
        <v>148</v>
      </c>
      <c r="I81" s="7" t="s">
        <v>149</v>
      </c>
      <c r="J81" s="11" t="s">
        <v>33</v>
      </c>
      <c r="K81" s="9" t="s">
        <v>22</v>
      </c>
      <c r="L81" s="9" t="s">
        <v>23</v>
      </c>
      <c r="M81" s="13" t="s">
        <v>162</v>
      </c>
      <c r="N81">
        <v>3</v>
      </c>
      <c r="O81" s="2">
        <v>1266</v>
      </c>
      <c r="P81" s="2">
        <v>2320</v>
      </c>
      <c r="Q81" s="2">
        <v>3162</v>
      </c>
      <c r="R81" s="2">
        <f t="shared" si="2"/>
        <v>3798</v>
      </c>
      <c r="S81" s="2">
        <f t="shared" si="3"/>
        <v>6960</v>
      </c>
    </row>
    <row r="82" spans="1:19" x14ac:dyDescent="0.25">
      <c r="A82" s="3" t="s">
        <v>120</v>
      </c>
      <c r="B82" s="1">
        <v>44552</v>
      </c>
      <c r="C82">
        <v>22</v>
      </c>
      <c r="D82" t="s">
        <v>19</v>
      </c>
      <c r="E82">
        <v>2021</v>
      </c>
      <c r="F82">
        <v>41</v>
      </c>
      <c r="G82" s="17" t="s">
        <v>20</v>
      </c>
      <c r="H82" t="s">
        <v>151</v>
      </c>
      <c r="I82" s="7" t="s">
        <v>149</v>
      </c>
      <c r="J82" s="11" t="s">
        <v>21</v>
      </c>
      <c r="K82" s="9" t="s">
        <v>22</v>
      </c>
      <c r="L82" s="9" t="s">
        <v>23</v>
      </c>
      <c r="M82" s="13" t="s">
        <v>164</v>
      </c>
      <c r="N82">
        <v>3</v>
      </c>
      <c r="O82" s="2">
        <v>1252</v>
      </c>
      <c r="P82" s="2">
        <v>2295</v>
      </c>
      <c r="Q82" s="2">
        <v>3129</v>
      </c>
      <c r="R82" s="2">
        <f t="shared" si="2"/>
        <v>3756</v>
      </c>
      <c r="S82" s="2">
        <f t="shared" si="3"/>
        <v>6885</v>
      </c>
    </row>
    <row r="83" spans="1:19" x14ac:dyDescent="0.25">
      <c r="A83" s="3" t="s">
        <v>121</v>
      </c>
      <c r="B83" s="1">
        <v>44552</v>
      </c>
      <c r="C83">
        <v>22</v>
      </c>
      <c r="D83" t="s">
        <v>19</v>
      </c>
      <c r="E83">
        <v>2021</v>
      </c>
      <c r="F83">
        <v>19</v>
      </c>
      <c r="G83" s="17" t="s">
        <v>31</v>
      </c>
      <c r="H83" t="s">
        <v>148</v>
      </c>
      <c r="I83" s="7" t="s">
        <v>156</v>
      </c>
      <c r="J83" s="11" t="s">
        <v>28</v>
      </c>
      <c r="K83" s="9" t="s">
        <v>22</v>
      </c>
      <c r="L83" s="9" t="s">
        <v>23</v>
      </c>
      <c r="M83" s="13" t="s">
        <v>167</v>
      </c>
      <c r="N83">
        <v>1</v>
      </c>
      <c r="O83" s="2">
        <v>308</v>
      </c>
      <c r="P83" s="2">
        <v>565</v>
      </c>
      <c r="Q83" s="2">
        <v>257</v>
      </c>
      <c r="R83" s="2">
        <f t="shared" si="2"/>
        <v>308</v>
      </c>
      <c r="S83" s="2">
        <f t="shared" si="3"/>
        <v>565</v>
      </c>
    </row>
    <row r="84" spans="1:19" x14ac:dyDescent="0.25">
      <c r="A84" s="3" t="s">
        <v>122</v>
      </c>
      <c r="B84" s="1">
        <v>44552</v>
      </c>
      <c r="C84">
        <v>22</v>
      </c>
      <c r="D84" t="s">
        <v>19</v>
      </c>
      <c r="E84">
        <v>2021</v>
      </c>
      <c r="F84">
        <v>25</v>
      </c>
      <c r="G84" s="17" t="s">
        <v>27</v>
      </c>
      <c r="H84" t="s">
        <v>151</v>
      </c>
      <c r="I84" s="7" t="s">
        <v>64</v>
      </c>
      <c r="J84" s="11" t="s">
        <v>65</v>
      </c>
      <c r="K84" s="9" t="s">
        <v>22</v>
      </c>
      <c r="L84" s="9" t="s">
        <v>23</v>
      </c>
      <c r="M84" s="13" t="s">
        <v>159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123</v>
      </c>
      <c r="B85" s="1">
        <v>44552</v>
      </c>
      <c r="C85">
        <v>22</v>
      </c>
      <c r="D85" t="s">
        <v>19</v>
      </c>
      <c r="E85">
        <v>2021</v>
      </c>
      <c r="F85">
        <v>27</v>
      </c>
      <c r="G85" s="17" t="s">
        <v>27</v>
      </c>
      <c r="H85" t="s">
        <v>148</v>
      </c>
      <c r="I85" s="7" t="s">
        <v>163</v>
      </c>
      <c r="J85" s="11" t="s">
        <v>43</v>
      </c>
      <c r="K85" s="9" t="s">
        <v>22</v>
      </c>
      <c r="L85" s="9" t="s">
        <v>23</v>
      </c>
      <c r="M85" s="13" t="s">
        <v>150</v>
      </c>
      <c r="N85">
        <v>1</v>
      </c>
      <c r="O85" s="2">
        <v>1252</v>
      </c>
      <c r="P85" s="2">
        <v>2295</v>
      </c>
      <c r="Q85" s="2">
        <v>1043</v>
      </c>
      <c r="R85" s="2">
        <f t="shared" si="2"/>
        <v>1252</v>
      </c>
      <c r="S85" s="2">
        <f t="shared" si="3"/>
        <v>2295</v>
      </c>
    </row>
    <row r="86" spans="1:19" x14ac:dyDescent="0.25">
      <c r="A86" s="3" t="s">
        <v>124</v>
      </c>
      <c r="B86" s="1">
        <v>44552</v>
      </c>
      <c r="C86">
        <v>22</v>
      </c>
      <c r="D86" t="s">
        <v>19</v>
      </c>
      <c r="E86">
        <v>2021</v>
      </c>
      <c r="F86">
        <v>41</v>
      </c>
      <c r="G86" s="17" t="s">
        <v>20</v>
      </c>
      <c r="H86" t="s">
        <v>151</v>
      </c>
      <c r="I86" s="7" t="s">
        <v>161</v>
      </c>
      <c r="J86" s="11" t="s">
        <v>109</v>
      </c>
      <c r="K86" s="9" t="s">
        <v>22</v>
      </c>
      <c r="L86" s="9" t="s">
        <v>23</v>
      </c>
      <c r="M86" s="13" t="s">
        <v>162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125</v>
      </c>
      <c r="B87" s="1">
        <v>44553</v>
      </c>
      <c r="C87">
        <v>23</v>
      </c>
      <c r="D87" t="s">
        <v>19</v>
      </c>
      <c r="E87">
        <v>2021</v>
      </c>
      <c r="F87">
        <v>30</v>
      </c>
      <c r="G87" s="17" t="s">
        <v>27</v>
      </c>
      <c r="H87" t="s">
        <v>148</v>
      </c>
      <c r="I87" s="7" t="s">
        <v>149</v>
      </c>
      <c r="J87" s="11" t="s">
        <v>51</v>
      </c>
      <c r="K87" s="9" t="s">
        <v>22</v>
      </c>
      <c r="L87" s="9" t="s">
        <v>23</v>
      </c>
      <c r="M87" s="13" t="s">
        <v>153</v>
      </c>
      <c r="N87">
        <v>1</v>
      </c>
      <c r="O87" s="2">
        <v>1266</v>
      </c>
      <c r="P87" s="2">
        <v>2320</v>
      </c>
      <c r="Q87" s="2">
        <v>1054</v>
      </c>
      <c r="R87" s="2">
        <f t="shared" si="2"/>
        <v>1266</v>
      </c>
      <c r="S87" s="2">
        <f t="shared" si="3"/>
        <v>2320</v>
      </c>
    </row>
    <row r="88" spans="1:19" x14ac:dyDescent="0.25">
      <c r="A88" s="3" t="s">
        <v>126</v>
      </c>
      <c r="B88" s="1">
        <v>44553</v>
      </c>
      <c r="C88">
        <v>23</v>
      </c>
      <c r="D88" t="s">
        <v>19</v>
      </c>
      <c r="E88">
        <v>2021</v>
      </c>
      <c r="F88">
        <v>31</v>
      </c>
      <c r="G88" s="17" t="s">
        <v>27</v>
      </c>
      <c r="H88" t="s">
        <v>148</v>
      </c>
      <c r="I88" s="7" t="s">
        <v>163</v>
      </c>
      <c r="J88" s="11" t="s">
        <v>43</v>
      </c>
      <c r="K88" s="9" t="s">
        <v>22</v>
      </c>
      <c r="L88" s="9" t="s">
        <v>23</v>
      </c>
      <c r="M88" s="13" t="s">
        <v>164</v>
      </c>
      <c r="N88">
        <v>1</v>
      </c>
      <c r="O88" s="2">
        <v>1252</v>
      </c>
      <c r="P88" s="2">
        <v>2295</v>
      </c>
      <c r="Q88" s="2">
        <v>1043</v>
      </c>
      <c r="R88" s="2">
        <f t="shared" si="2"/>
        <v>1252</v>
      </c>
      <c r="S88" s="2">
        <f t="shared" si="3"/>
        <v>2295</v>
      </c>
    </row>
    <row r="89" spans="1:19" x14ac:dyDescent="0.25">
      <c r="A89" s="3" t="s">
        <v>127</v>
      </c>
      <c r="B89" s="1">
        <v>44553</v>
      </c>
      <c r="C89">
        <v>23</v>
      </c>
      <c r="D89" t="s">
        <v>19</v>
      </c>
      <c r="E89">
        <v>2021</v>
      </c>
      <c r="F89">
        <v>35</v>
      </c>
      <c r="G89" s="17" t="s">
        <v>20</v>
      </c>
      <c r="H89" t="s">
        <v>148</v>
      </c>
      <c r="I89" s="7" t="s">
        <v>149</v>
      </c>
      <c r="J89" s="11" t="s">
        <v>21</v>
      </c>
      <c r="K89" s="9" t="s">
        <v>22</v>
      </c>
      <c r="L89" s="9" t="s">
        <v>23</v>
      </c>
      <c r="M89" s="13" t="s">
        <v>168</v>
      </c>
      <c r="N89">
        <v>1</v>
      </c>
      <c r="O89" s="2">
        <v>295</v>
      </c>
      <c r="P89" s="2">
        <v>540</v>
      </c>
      <c r="Q89" s="2">
        <v>245</v>
      </c>
      <c r="R89" s="2">
        <f t="shared" si="2"/>
        <v>295</v>
      </c>
      <c r="S89" s="2">
        <f t="shared" si="3"/>
        <v>540</v>
      </c>
    </row>
    <row r="90" spans="1:19" x14ac:dyDescent="0.25">
      <c r="A90" s="3" t="s">
        <v>128</v>
      </c>
      <c r="B90" s="1">
        <v>44554</v>
      </c>
      <c r="C90">
        <v>24</v>
      </c>
      <c r="D90" t="s">
        <v>19</v>
      </c>
      <c r="E90">
        <v>2021</v>
      </c>
      <c r="F90">
        <v>38</v>
      </c>
      <c r="G90" s="17" t="s">
        <v>20</v>
      </c>
      <c r="H90" t="s">
        <v>151</v>
      </c>
      <c r="I90" s="7" t="s">
        <v>156</v>
      </c>
      <c r="J90" s="11" t="s">
        <v>39</v>
      </c>
      <c r="K90" s="9" t="s">
        <v>22</v>
      </c>
      <c r="L90" s="9" t="s">
        <v>23</v>
      </c>
      <c r="M90" s="13" t="s">
        <v>164</v>
      </c>
      <c r="N90">
        <v>4</v>
      </c>
      <c r="O90" s="2">
        <v>1252</v>
      </c>
      <c r="P90" s="2">
        <v>2295</v>
      </c>
      <c r="Q90" s="2">
        <v>4172</v>
      </c>
      <c r="R90" s="2">
        <f t="shared" si="2"/>
        <v>5008</v>
      </c>
      <c r="S90" s="2">
        <f t="shared" si="3"/>
        <v>9180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"/>
  <sheetViews>
    <sheetView topLeftCell="A51" workbookViewId="0">
      <selection activeCell="E8" sqref="E8"/>
    </sheetView>
  </sheetViews>
  <sheetFormatPr defaultRowHeight="15" x14ac:dyDescent="0.25"/>
  <cols>
    <col min="1" max="1" width="15.140625" customWidth="1"/>
    <col min="2" max="2" width="10.7109375" bestFit="1" customWidth="1"/>
    <col min="4" max="4" width="10.140625" bestFit="1" customWidth="1"/>
    <col min="6" max="6" width="10" customWidth="1"/>
    <col min="7" max="7" width="16.85546875" customWidth="1"/>
    <col min="8" max="8" width="9.42578125" customWidth="1"/>
    <col min="9" max="9" width="12.42578125" style="27" customWidth="1"/>
    <col min="10" max="10" width="14" style="27" customWidth="1"/>
    <col min="11" max="11" width="14" style="29" customWidth="1"/>
    <col min="12" max="12" width="19.7109375" style="29" customWidth="1"/>
    <col min="13" max="13" width="16.85546875" style="9" bestFit="1" customWidth="1"/>
    <col min="14" max="14" width="16.5703125" style="9" customWidth="1"/>
    <col min="15" max="15" width="16.5703125" style="31" customWidth="1"/>
    <col min="16" max="16" width="16" style="31" bestFit="1" customWidth="1"/>
    <col min="17" max="17" width="8.140625" style="33" bestFit="1" customWidth="1"/>
    <col min="18" max="18" width="6" style="33" bestFit="1" customWidth="1"/>
    <col min="19" max="19" width="4.5703125" style="16" bestFit="1" customWidth="1"/>
    <col min="20" max="20" width="10.28515625" customWidth="1"/>
    <col min="21" max="21" width="10" customWidth="1"/>
    <col min="22" max="22" width="11.85546875" customWidth="1"/>
    <col min="23" max="24" width="9.85546875" bestFit="1" customWidth="1"/>
    <col min="25" max="25" width="10.85546875" bestFit="1" customWidth="1"/>
  </cols>
  <sheetData>
    <row r="1" spans="1:25" s="5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t="s">
        <v>6</v>
      </c>
      <c r="H1" s="5" t="s">
        <v>7</v>
      </c>
      <c r="I1" s="26" t="s">
        <v>177</v>
      </c>
      <c r="J1" s="26" t="s">
        <v>8</v>
      </c>
      <c r="K1" s="28" t="s">
        <v>178</v>
      </c>
      <c r="L1" s="28" t="s">
        <v>9</v>
      </c>
      <c r="M1" s="8" t="s">
        <v>10</v>
      </c>
      <c r="N1" s="8" t="s">
        <v>11</v>
      </c>
      <c r="O1" s="30" t="s">
        <v>179</v>
      </c>
      <c r="P1" s="30" t="s">
        <v>138</v>
      </c>
      <c r="Q1" s="32" t="s">
        <v>180</v>
      </c>
      <c r="R1" s="32" t="s">
        <v>131</v>
      </c>
      <c r="S1" s="12" t="s">
        <v>130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</row>
    <row r="2" spans="1:25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s="27" t="s">
        <v>186</v>
      </c>
      <c r="J2" s="27" t="s">
        <v>139</v>
      </c>
      <c r="K2" s="29" t="s">
        <v>188</v>
      </c>
      <c r="L2" s="29" t="s">
        <v>21</v>
      </c>
      <c r="M2" s="9" t="s">
        <v>22</v>
      </c>
      <c r="N2" s="9" t="s">
        <v>23</v>
      </c>
      <c r="O2" s="31" t="s">
        <v>205</v>
      </c>
      <c r="P2" s="31" t="s">
        <v>132</v>
      </c>
      <c r="Q2" s="33" t="s">
        <v>208</v>
      </c>
      <c r="R2" s="33" t="s">
        <v>133</v>
      </c>
      <c r="S2" s="14">
        <v>46</v>
      </c>
      <c r="T2">
        <v>4</v>
      </c>
      <c r="U2" s="2">
        <v>1252</v>
      </c>
      <c r="V2" s="2">
        <v>2295</v>
      </c>
      <c r="W2" s="2">
        <v>4172</v>
      </c>
      <c r="X2" s="2">
        <f t="shared" ref="X2:X33" si="0">T2*U2</f>
        <v>5008</v>
      </c>
      <c r="Y2" s="2">
        <f t="shared" ref="Y2:Y33" si="1">T2*V2</f>
        <v>9180</v>
      </c>
    </row>
    <row r="3" spans="1:25" x14ac:dyDescent="0.25">
      <c r="A3" s="3" t="s">
        <v>129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s="27" t="s">
        <v>185</v>
      </c>
      <c r="J3" s="27" t="s">
        <v>140</v>
      </c>
      <c r="K3" s="29" t="s">
        <v>189</v>
      </c>
      <c r="L3" s="29" t="s">
        <v>24</v>
      </c>
      <c r="M3" s="9" t="s">
        <v>22</v>
      </c>
      <c r="N3" s="9" t="s">
        <v>23</v>
      </c>
      <c r="O3" s="31" t="s">
        <v>205</v>
      </c>
      <c r="P3" s="31" t="s">
        <v>132</v>
      </c>
      <c r="Q3" s="33" t="s">
        <v>209</v>
      </c>
      <c r="R3" s="33" t="s">
        <v>134</v>
      </c>
      <c r="S3" s="14">
        <v>42</v>
      </c>
      <c r="T3">
        <v>1</v>
      </c>
      <c r="U3" s="2">
        <v>1266</v>
      </c>
      <c r="V3" s="2">
        <v>2320</v>
      </c>
      <c r="W3" s="2">
        <v>1054</v>
      </c>
      <c r="X3" s="2">
        <f t="shared" si="0"/>
        <v>1266</v>
      </c>
      <c r="Y3" s="2">
        <f t="shared" si="1"/>
        <v>2320</v>
      </c>
    </row>
    <row r="4" spans="1:25" x14ac:dyDescent="0.25">
      <c r="A4" s="3" t="s">
        <v>25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s="27" t="s">
        <v>186</v>
      </c>
      <c r="J4" s="27" t="s">
        <v>139</v>
      </c>
      <c r="K4" s="29" t="s">
        <v>188</v>
      </c>
      <c r="L4" s="29" t="s">
        <v>21</v>
      </c>
      <c r="M4" s="9" t="s">
        <v>22</v>
      </c>
      <c r="N4" s="9" t="s">
        <v>23</v>
      </c>
      <c r="O4" s="31" t="s">
        <v>206</v>
      </c>
      <c r="P4" s="31" t="s">
        <v>135</v>
      </c>
      <c r="Q4" s="33" t="s">
        <v>209</v>
      </c>
      <c r="R4" s="33" t="s">
        <v>134</v>
      </c>
      <c r="S4" s="14">
        <v>46</v>
      </c>
      <c r="T4">
        <v>2</v>
      </c>
      <c r="U4" s="2">
        <v>420</v>
      </c>
      <c r="V4" s="2">
        <v>769</v>
      </c>
      <c r="W4" s="2">
        <v>698</v>
      </c>
      <c r="X4" s="2">
        <f t="shared" si="0"/>
        <v>840</v>
      </c>
      <c r="Y4" s="2">
        <f t="shared" si="1"/>
        <v>1538</v>
      </c>
    </row>
    <row r="5" spans="1:25" x14ac:dyDescent="0.25">
      <c r="A5" s="3" t="s">
        <v>26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27</v>
      </c>
      <c r="H5" t="s">
        <v>144</v>
      </c>
      <c r="I5" s="27" t="s">
        <v>181</v>
      </c>
      <c r="J5" s="27" t="s">
        <v>141</v>
      </c>
      <c r="K5" s="29" t="s">
        <v>192</v>
      </c>
      <c r="L5" s="29" t="s">
        <v>28</v>
      </c>
      <c r="M5" s="9" t="s">
        <v>22</v>
      </c>
      <c r="N5" s="9" t="s">
        <v>23</v>
      </c>
      <c r="O5" s="31" t="s">
        <v>206</v>
      </c>
      <c r="P5" s="31" t="s">
        <v>135</v>
      </c>
      <c r="Q5" s="33" t="s">
        <v>209</v>
      </c>
      <c r="R5" s="33" t="s">
        <v>134</v>
      </c>
      <c r="S5" s="14">
        <v>42</v>
      </c>
      <c r="T5">
        <v>1</v>
      </c>
      <c r="U5" s="2">
        <v>420</v>
      </c>
      <c r="V5" s="2">
        <v>769</v>
      </c>
      <c r="W5" s="2">
        <v>349</v>
      </c>
      <c r="X5" s="2">
        <f t="shared" si="0"/>
        <v>420</v>
      </c>
      <c r="Y5" s="2">
        <f t="shared" si="1"/>
        <v>769</v>
      </c>
    </row>
    <row r="6" spans="1:25" x14ac:dyDescent="0.25">
      <c r="A6" s="3" t="s">
        <v>29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s="27" t="s">
        <v>186</v>
      </c>
      <c r="J6" s="27" t="s">
        <v>139</v>
      </c>
      <c r="K6" s="29" t="s">
        <v>188</v>
      </c>
      <c r="L6" s="29" t="s">
        <v>21</v>
      </c>
      <c r="M6" s="9" t="s">
        <v>22</v>
      </c>
      <c r="N6" s="9" t="s">
        <v>23</v>
      </c>
      <c r="O6" s="31" t="s">
        <v>205</v>
      </c>
      <c r="P6" s="31" t="s">
        <v>132</v>
      </c>
      <c r="Q6" s="33" t="s">
        <v>208</v>
      </c>
      <c r="R6" s="33" t="s">
        <v>133</v>
      </c>
      <c r="S6" s="14">
        <v>46</v>
      </c>
      <c r="T6">
        <v>2</v>
      </c>
      <c r="U6" s="2">
        <v>1252</v>
      </c>
      <c r="V6" s="2">
        <v>2295</v>
      </c>
      <c r="W6" s="2">
        <v>2086</v>
      </c>
      <c r="X6" s="2">
        <f t="shared" si="0"/>
        <v>2504</v>
      </c>
      <c r="Y6" s="2">
        <f t="shared" si="1"/>
        <v>4590</v>
      </c>
    </row>
    <row r="7" spans="1:25" x14ac:dyDescent="0.25">
      <c r="A7" s="3" t="s">
        <v>30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31</v>
      </c>
      <c r="H7" t="s">
        <v>144</v>
      </c>
      <c r="I7" s="27" t="s">
        <v>185</v>
      </c>
      <c r="J7" s="27" t="s">
        <v>140</v>
      </c>
      <c r="K7" s="29" t="s">
        <v>189</v>
      </c>
      <c r="L7" s="29" t="s">
        <v>24</v>
      </c>
      <c r="M7" s="9" t="s">
        <v>22</v>
      </c>
      <c r="N7" s="9" t="s">
        <v>23</v>
      </c>
      <c r="O7" s="31" t="s">
        <v>205</v>
      </c>
      <c r="P7" s="31" t="s">
        <v>132</v>
      </c>
      <c r="Q7" s="33" t="s">
        <v>208</v>
      </c>
      <c r="R7" s="33" t="s">
        <v>133</v>
      </c>
      <c r="S7" s="14">
        <v>38</v>
      </c>
      <c r="T7">
        <v>1</v>
      </c>
      <c r="U7" s="2">
        <v>1252</v>
      </c>
      <c r="V7" s="2">
        <v>2295</v>
      </c>
      <c r="W7" s="2">
        <v>1043</v>
      </c>
      <c r="X7" s="2">
        <f t="shared" si="0"/>
        <v>1252</v>
      </c>
      <c r="Y7" s="2">
        <f t="shared" si="1"/>
        <v>2295</v>
      </c>
    </row>
    <row r="8" spans="1:25" x14ac:dyDescent="0.25">
      <c r="A8" s="3" t="s">
        <v>32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s="27" t="s">
        <v>186</v>
      </c>
      <c r="J8" s="27" t="s">
        <v>139</v>
      </c>
      <c r="K8" s="29" t="s">
        <v>203</v>
      </c>
      <c r="L8" s="29" t="s">
        <v>33</v>
      </c>
      <c r="M8" s="9" t="s">
        <v>22</v>
      </c>
      <c r="N8" s="9" t="s">
        <v>23</v>
      </c>
      <c r="O8" s="31" t="s">
        <v>205</v>
      </c>
      <c r="P8" s="31" t="s">
        <v>132</v>
      </c>
      <c r="Q8" s="33" t="s">
        <v>208</v>
      </c>
      <c r="R8" s="33" t="s">
        <v>133</v>
      </c>
      <c r="S8" s="14">
        <v>46</v>
      </c>
      <c r="T8">
        <v>1</v>
      </c>
      <c r="U8" s="2">
        <v>1252</v>
      </c>
      <c r="V8" s="2">
        <v>2295</v>
      </c>
      <c r="W8" s="2">
        <v>1043</v>
      </c>
      <c r="X8" s="2">
        <f t="shared" si="0"/>
        <v>1252</v>
      </c>
      <c r="Y8" s="2">
        <f t="shared" si="1"/>
        <v>2295</v>
      </c>
    </row>
    <row r="9" spans="1:25" s="4" customFormat="1" x14ac:dyDescent="0.25">
      <c r="A9" s="3" t="s">
        <v>34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27</v>
      </c>
      <c r="H9" t="s">
        <v>144</v>
      </c>
      <c r="I9" s="27" t="s">
        <v>181</v>
      </c>
      <c r="J9" s="27" t="s">
        <v>141</v>
      </c>
      <c r="K9" s="29" t="s">
        <v>192</v>
      </c>
      <c r="L9" s="29" t="s">
        <v>28</v>
      </c>
      <c r="M9" s="9" t="s">
        <v>22</v>
      </c>
      <c r="N9" s="9" t="s">
        <v>23</v>
      </c>
      <c r="O9" s="31" t="s">
        <v>206</v>
      </c>
      <c r="P9" s="31" t="s">
        <v>135</v>
      </c>
      <c r="Q9" s="33" t="s">
        <v>209</v>
      </c>
      <c r="R9" s="33" t="s">
        <v>134</v>
      </c>
      <c r="S9" s="14">
        <v>42</v>
      </c>
      <c r="T9">
        <v>4</v>
      </c>
      <c r="U9" s="2">
        <v>420</v>
      </c>
      <c r="V9" s="2">
        <v>769</v>
      </c>
      <c r="W9" s="2">
        <v>1396</v>
      </c>
      <c r="X9" s="2">
        <f t="shared" si="0"/>
        <v>1680</v>
      </c>
      <c r="Y9" s="2">
        <f t="shared" si="1"/>
        <v>3076</v>
      </c>
    </row>
    <row r="10" spans="1:25" x14ac:dyDescent="0.25">
      <c r="A10" s="3" t="s">
        <v>35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s="27" t="s">
        <v>186</v>
      </c>
      <c r="J10" s="27" t="s">
        <v>139</v>
      </c>
      <c r="K10" s="29" t="s">
        <v>188</v>
      </c>
      <c r="L10" s="29" t="s">
        <v>21</v>
      </c>
      <c r="M10" s="9" t="s">
        <v>22</v>
      </c>
      <c r="N10" s="9" t="s">
        <v>23</v>
      </c>
      <c r="O10" s="31" t="s">
        <v>205</v>
      </c>
      <c r="P10" s="31" t="s">
        <v>132</v>
      </c>
      <c r="Q10" s="33" t="s">
        <v>208</v>
      </c>
      <c r="R10" s="33" t="s">
        <v>133</v>
      </c>
      <c r="S10" s="14">
        <v>46</v>
      </c>
      <c r="T10">
        <v>4</v>
      </c>
      <c r="U10" s="2">
        <v>1252</v>
      </c>
      <c r="V10" s="2">
        <v>2295</v>
      </c>
      <c r="W10" s="2">
        <v>4172</v>
      </c>
      <c r="X10" s="2">
        <f t="shared" si="0"/>
        <v>5008</v>
      </c>
      <c r="Y10" s="2">
        <f t="shared" si="1"/>
        <v>9180</v>
      </c>
    </row>
    <row r="11" spans="1:25" x14ac:dyDescent="0.25">
      <c r="A11" s="3" t="s">
        <v>36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s="27" t="s">
        <v>184</v>
      </c>
      <c r="J11" s="27" t="s">
        <v>142</v>
      </c>
      <c r="K11" s="29" t="s">
        <v>194</v>
      </c>
      <c r="L11" s="29" t="s">
        <v>37</v>
      </c>
      <c r="M11" s="9" t="s">
        <v>22</v>
      </c>
      <c r="N11" s="9" t="s">
        <v>23</v>
      </c>
      <c r="O11" s="31" t="s">
        <v>205</v>
      </c>
      <c r="P11" s="31" t="s">
        <v>132</v>
      </c>
      <c r="Q11" s="33" t="s">
        <v>208</v>
      </c>
      <c r="R11" s="33" t="s">
        <v>133</v>
      </c>
      <c r="S11" s="14">
        <v>38</v>
      </c>
      <c r="T11">
        <v>4</v>
      </c>
      <c r="U11" s="2">
        <v>1252</v>
      </c>
      <c r="V11" s="2">
        <v>2295</v>
      </c>
      <c r="W11" s="2">
        <v>4172</v>
      </c>
      <c r="X11" s="2">
        <f t="shared" si="0"/>
        <v>5008</v>
      </c>
      <c r="Y11" s="2">
        <f t="shared" si="1"/>
        <v>9180</v>
      </c>
    </row>
    <row r="12" spans="1:25" x14ac:dyDescent="0.25">
      <c r="A12" s="3" t="s">
        <v>38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s="27" t="s">
        <v>181</v>
      </c>
      <c r="J12" s="27" t="s">
        <v>141</v>
      </c>
      <c r="K12" s="29" t="s">
        <v>196</v>
      </c>
      <c r="L12" s="29" t="s">
        <v>39</v>
      </c>
      <c r="M12" s="9" t="s">
        <v>22</v>
      </c>
      <c r="N12" s="9" t="s">
        <v>23</v>
      </c>
      <c r="O12" s="31" t="s">
        <v>205</v>
      </c>
      <c r="P12" s="31" t="s">
        <v>132</v>
      </c>
      <c r="Q12" s="33" t="s">
        <v>209</v>
      </c>
      <c r="R12" s="33" t="s">
        <v>134</v>
      </c>
      <c r="S12" s="14">
        <v>38</v>
      </c>
      <c r="T12">
        <v>1</v>
      </c>
      <c r="U12" s="2">
        <v>1266</v>
      </c>
      <c r="V12" s="2">
        <v>2320</v>
      </c>
      <c r="W12" s="2">
        <v>1054</v>
      </c>
      <c r="X12" s="2">
        <f t="shared" si="0"/>
        <v>1266</v>
      </c>
      <c r="Y12" s="2">
        <f t="shared" si="1"/>
        <v>2320</v>
      </c>
    </row>
    <row r="13" spans="1:25" x14ac:dyDescent="0.25">
      <c r="A13" s="3" t="s">
        <v>40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s="27" t="s">
        <v>186</v>
      </c>
      <c r="J13" s="27" t="s">
        <v>139</v>
      </c>
      <c r="K13" s="29" t="s">
        <v>188</v>
      </c>
      <c r="L13" s="29" t="s">
        <v>21</v>
      </c>
      <c r="M13" s="9" t="s">
        <v>22</v>
      </c>
      <c r="N13" s="9" t="s">
        <v>23</v>
      </c>
      <c r="O13" s="31" t="s">
        <v>205</v>
      </c>
      <c r="P13" s="31" t="s">
        <v>132</v>
      </c>
      <c r="Q13" s="33" t="s">
        <v>208</v>
      </c>
      <c r="R13" s="33" t="s">
        <v>133</v>
      </c>
      <c r="S13" s="14">
        <v>46</v>
      </c>
      <c r="T13">
        <v>1</v>
      </c>
      <c r="U13" s="2">
        <v>1252</v>
      </c>
      <c r="V13" s="2">
        <v>2295</v>
      </c>
      <c r="W13" s="2">
        <v>1043</v>
      </c>
      <c r="X13" s="2">
        <f t="shared" si="0"/>
        <v>1252</v>
      </c>
      <c r="Y13" s="2">
        <f t="shared" si="1"/>
        <v>2295</v>
      </c>
    </row>
    <row r="14" spans="1:25" x14ac:dyDescent="0.25">
      <c r="A14" s="3" t="s">
        <v>41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31</v>
      </c>
      <c r="H14" t="s">
        <v>145</v>
      </c>
      <c r="I14" s="27" t="s">
        <v>185</v>
      </c>
      <c r="J14" s="27" t="s">
        <v>140</v>
      </c>
      <c r="K14" s="29" t="s">
        <v>189</v>
      </c>
      <c r="L14" s="29" t="s">
        <v>24</v>
      </c>
      <c r="M14" s="9" t="s">
        <v>22</v>
      </c>
      <c r="N14" s="9" t="s">
        <v>23</v>
      </c>
      <c r="O14" s="31" t="s">
        <v>206</v>
      </c>
      <c r="P14" s="31" t="s">
        <v>135</v>
      </c>
      <c r="Q14" s="33" t="s">
        <v>209</v>
      </c>
      <c r="R14" s="33" t="s">
        <v>134</v>
      </c>
      <c r="S14" s="14">
        <v>46</v>
      </c>
      <c r="T14">
        <v>3</v>
      </c>
      <c r="U14" s="2">
        <v>420</v>
      </c>
      <c r="V14" s="2">
        <v>769</v>
      </c>
      <c r="W14" s="2">
        <v>1047</v>
      </c>
      <c r="X14" s="2">
        <f t="shared" si="0"/>
        <v>1260</v>
      </c>
      <c r="Y14" s="2">
        <f t="shared" si="1"/>
        <v>2307</v>
      </c>
    </row>
    <row r="15" spans="1:25" x14ac:dyDescent="0.25">
      <c r="A15" s="3" t="s">
        <v>42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27</v>
      </c>
      <c r="H15" t="s">
        <v>145</v>
      </c>
      <c r="I15" s="27" t="s">
        <v>182</v>
      </c>
      <c r="J15" s="27" t="s">
        <v>143</v>
      </c>
      <c r="K15" s="29" t="s">
        <v>187</v>
      </c>
      <c r="L15" s="29" t="s">
        <v>43</v>
      </c>
      <c r="M15" s="9" t="s">
        <v>22</v>
      </c>
      <c r="N15" s="9" t="s">
        <v>23</v>
      </c>
      <c r="O15" s="31" t="s">
        <v>205</v>
      </c>
      <c r="P15" s="31" t="s">
        <v>132</v>
      </c>
      <c r="Q15" s="33" t="s">
        <v>208</v>
      </c>
      <c r="R15" s="33" t="s">
        <v>133</v>
      </c>
      <c r="S15" s="14">
        <v>46</v>
      </c>
      <c r="T15">
        <v>1</v>
      </c>
      <c r="U15" s="2">
        <v>1252</v>
      </c>
      <c r="V15" s="2">
        <v>2295</v>
      </c>
      <c r="W15" s="2">
        <v>1043</v>
      </c>
      <c r="X15" s="2">
        <f t="shared" si="0"/>
        <v>1252</v>
      </c>
      <c r="Y15" s="2">
        <f t="shared" si="1"/>
        <v>2295</v>
      </c>
    </row>
    <row r="16" spans="1:25" x14ac:dyDescent="0.25">
      <c r="A16" s="3" t="s">
        <v>44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31</v>
      </c>
      <c r="H16" t="s">
        <v>145</v>
      </c>
      <c r="I16" s="27" t="s">
        <v>181</v>
      </c>
      <c r="J16" s="27" t="s">
        <v>141</v>
      </c>
      <c r="K16" s="29" t="s">
        <v>192</v>
      </c>
      <c r="L16" s="29" t="s">
        <v>28</v>
      </c>
      <c r="M16" s="9" t="s">
        <v>22</v>
      </c>
      <c r="N16" s="9" t="s">
        <v>23</v>
      </c>
      <c r="O16" s="31" t="s">
        <v>205</v>
      </c>
      <c r="P16" s="31" t="s">
        <v>132</v>
      </c>
      <c r="Q16" s="33" t="s">
        <v>208</v>
      </c>
      <c r="R16" s="33" t="s">
        <v>133</v>
      </c>
      <c r="S16" s="14">
        <v>42</v>
      </c>
      <c r="T16">
        <v>1</v>
      </c>
      <c r="U16" s="2">
        <v>1252</v>
      </c>
      <c r="V16" s="2">
        <v>2295</v>
      </c>
      <c r="W16" s="2">
        <v>1043</v>
      </c>
      <c r="X16" s="2">
        <f t="shared" si="0"/>
        <v>1252</v>
      </c>
      <c r="Y16" s="2">
        <f t="shared" si="1"/>
        <v>2295</v>
      </c>
    </row>
    <row r="17" spans="1:25" x14ac:dyDescent="0.25">
      <c r="A17" s="3" t="s">
        <v>45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s="27" t="s">
        <v>185</v>
      </c>
      <c r="J17" s="27" t="s">
        <v>140</v>
      </c>
      <c r="K17" s="29" t="s">
        <v>189</v>
      </c>
      <c r="L17" s="29" t="s">
        <v>24</v>
      </c>
      <c r="M17" s="9" t="s">
        <v>22</v>
      </c>
      <c r="N17" s="9" t="s">
        <v>23</v>
      </c>
      <c r="O17" s="31" t="s">
        <v>205</v>
      </c>
      <c r="P17" s="31" t="s">
        <v>132</v>
      </c>
      <c r="Q17" s="33" t="s">
        <v>209</v>
      </c>
      <c r="R17" s="33" t="s">
        <v>134</v>
      </c>
      <c r="S17" s="14">
        <v>38</v>
      </c>
      <c r="T17">
        <v>1</v>
      </c>
      <c r="U17" s="2">
        <v>1266</v>
      </c>
      <c r="V17" s="2">
        <v>2320</v>
      </c>
      <c r="W17" s="2">
        <v>1054</v>
      </c>
      <c r="X17" s="2">
        <f t="shared" si="0"/>
        <v>1266</v>
      </c>
      <c r="Y17" s="2">
        <f t="shared" si="1"/>
        <v>2320</v>
      </c>
    </row>
    <row r="18" spans="1:25" x14ac:dyDescent="0.25">
      <c r="A18" s="3" t="s">
        <v>46</v>
      </c>
      <c r="B18" s="1">
        <v>44537</v>
      </c>
      <c r="C18">
        <v>7</v>
      </c>
      <c r="D18" t="s">
        <v>146</v>
      </c>
      <c r="E18">
        <v>2021</v>
      </c>
      <c r="F18">
        <v>30</v>
      </c>
      <c r="G18" t="s">
        <v>27</v>
      </c>
      <c r="H18" t="s">
        <v>145</v>
      </c>
      <c r="I18" s="27" t="s">
        <v>186</v>
      </c>
      <c r="J18" s="27" t="s">
        <v>139</v>
      </c>
      <c r="K18" s="29" t="s">
        <v>188</v>
      </c>
      <c r="L18" s="29" t="s">
        <v>21</v>
      </c>
      <c r="M18" s="9" t="s">
        <v>22</v>
      </c>
      <c r="N18" s="9" t="s">
        <v>23</v>
      </c>
      <c r="O18" s="31" t="s">
        <v>206</v>
      </c>
      <c r="P18" s="31" t="s">
        <v>135</v>
      </c>
      <c r="Q18" s="33" t="s">
        <v>209</v>
      </c>
      <c r="R18" s="33" t="s">
        <v>134</v>
      </c>
      <c r="S18" s="14">
        <v>38</v>
      </c>
      <c r="T18">
        <v>4</v>
      </c>
      <c r="U18" s="2">
        <v>420</v>
      </c>
      <c r="V18" s="2">
        <v>769</v>
      </c>
      <c r="W18" s="2">
        <v>1396</v>
      </c>
      <c r="X18" s="2">
        <f t="shared" si="0"/>
        <v>1680</v>
      </c>
      <c r="Y18" s="2">
        <f t="shared" si="1"/>
        <v>3076</v>
      </c>
    </row>
    <row r="19" spans="1:25" x14ac:dyDescent="0.25">
      <c r="A19" s="3" t="s">
        <v>47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s="27" t="s">
        <v>186</v>
      </c>
      <c r="J19" s="27" t="s">
        <v>139</v>
      </c>
      <c r="K19" s="29" t="s">
        <v>188</v>
      </c>
      <c r="L19" s="29" t="s">
        <v>21</v>
      </c>
      <c r="M19" s="9" t="s">
        <v>22</v>
      </c>
      <c r="N19" s="9" t="s">
        <v>23</v>
      </c>
      <c r="O19" s="31" t="s">
        <v>205</v>
      </c>
      <c r="P19" s="31" t="s">
        <v>132</v>
      </c>
      <c r="Q19" s="33" t="s">
        <v>209</v>
      </c>
      <c r="R19" s="33" t="s">
        <v>134</v>
      </c>
      <c r="S19" s="14">
        <v>42</v>
      </c>
      <c r="T19">
        <v>2</v>
      </c>
      <c r="U19" s="2">
        <v>1266</v>
      </c>
      <c r="V19" s="2">
        <v>2320</v>
      </c>
      <c r="W19" s="2">
        <v>2108</v>
      </c>
      <c r="X19" s="2">
        <f t="shared" si="0"/>
        <v>2532</v>
      </c>
      <c r="Y19" s="2">
        <f t="shared" si="1"/>
        <v>4640</v>
      </c>
    </row>
    <row r="20" spans="1:25" x14ac:dyDescent="0.25">
      <c r="A20" s="3" t="s">
        <v>48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31</v>
      </c>
      <c r="H20" t="s">
        <v>144</v>
      </c>
      <c r="I20" s="27" t="s">
        <v>181</v>
      </c>
      <c r="J20" s="27" t="s">
        <v>141</v>
      </c>
      <c r="K20" s="29" t="s">
        <v>192</v>
      </c>
      <c r="L20" s="29" t="s">
        <v>28</v>
      </c>
      <c r="M20" s="9" t="s">
        <v>22</v>
      </c>
      <c r="N20" s="9" t="s">
        <v>23</v>
      </c>
      <c r="O20" s="31" t="s">
        <v>207</v>
      </c>
      <c r="P20" s="31" t="s">
        <v>136</v>
      </c>
      <c r="Q20" s="33" t="s">
        <v>209</v>
      </c>
      <c r="R20" s="33" t="s">
        <v>134</v>
      </c>
      <c r="S20" s="14">
        <v>42</v>
      </c>
      <c r="T20">
        <v>4</v>
      </c>
      <c r="U20" s="2">
        <v>308</v>
      </c>
      <c r="V20" s="2">
        <v>565</v>
      </c>
      <c r="W20" s="2">
        <v>1028</v>
      </c>
      <c r="X20" s="2">
        <f t="shared" si="0"/>
        <v>1232</v>
      </c>
      <c r="Y20" s="2">
        <f t="shared" si="1"/>
        <v>2260</v>
      </c>
    </row>
    <row r="21" spans="1:25" x14ac:dyDescent="0.25">
      <c r="A21" s="3" t="s">
        <v>49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27</v>
      </c>
      <c r="H21" t="s">
        <v>144</v>
      </c>
      <c r="I21" s="27" t="s">
        <v>182</v>
      </c>
      <c r="J21" s="27" t="s">
        <v>143</v>
      </c>
      <c r="K21" s="29" t="s">
        <v>187</v>
      </c>
      <c r="L21" s="29" t="s">
        <v>43</v>
      </c>
      <c r="M21" s="9" t="s">
        <v>22</v>
      </c>
      <c r="N21" s="9" t="s">
        <v>23</v>
      </c>
      <c r="O21" s="31" t="s">
        <v>205</v>
      </c>
      <c r="P21" s="31" t="s">
        <v>132</v>
      </c>
      <c r="Q21" s="33" t="s">
        <v>209</v>
      </c>
      <c r="R21" s="33" t="s">
        <v>134</v>
      </c>
      <c r="S21" s="14">
        <v>38</v>
      </c>
      <c r="T21">
        <v>4</v>
      </c>
      <c r="U21" s="2">
        <v>1266</v>
      </c>
      <c r="V21" s="2">
        <v>2320</v>
      </c>
      <c r="W21" s="2">
        <v>4216</v>
      </c>
      <c r="X21" s="2">
        <f t="shared" si="0"/>
        <v>5064</v>
      </c>
      <c r="Y21" s="2">
        <f t="shared" si="1"/>
        <v>9280</v>
      </c>
    </row>
    <row r="22" spans="1:25" x14ac:dyDescent="0.25">
      <c r="A22" s="3" t="s">
        <v>50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s="27" t="s">
        <v>186</v>
      </c>
      <c r="J22" s="27" t="s">
        <v>139</v>
      </c>
      <c r="K22" s="29" t="s">
        <v>195</v>
      </c>
      <c r="L22" s="29" t="s">
        <v>51</v>
      </c>
      <c r="M22" s="9" t="s">
        <v>22</v>
      </c>
      <c r="N22" s="9" t="s">
        <v>23</v>
      </c>
      <c r="O22" s="31" t="s">
        <v>205</v>
      </c>
      <c r="P22" s="31" t="s">
        <v>132</v>
      </c>
      <c r="Q22" s="33" t="s">
        <v>208</v>
      </c>
      <c r="R22" s="33" t="s">
        <v>133</v>
      </c>
      <c r="S22" s="14">
        <v>42</v>
      </c>
      <c r="T22">
        <v>2</v>
      </c>
      <c r="U22" s="2">
        <v>1252</v>
      </c>
      <c r="V22" s="2">
        <v>2295</v>
      </c>
      <c r="W22" s="2">
        <v>2086</v>
      </c>
      <c r="X22" s="2">
        <f t="shared" si="0"/>
        <v>2504</v>
      </c>
      <c r="Y22" s="2">
        <f t="shared" si="1"/>
        <v>4590</v>
      </c>
    </row>
    <row r="23" spans="1:25" x14ac:dyDescent="0.25">
      <c r="A23" s="3" t="s">
        <v>52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s="27" t="s">
        <v>186</v>
      </c>
      <c r="J23" s="27" t="s">
        <v>139</v>
      </c>
      <c r="K23" s="29" t="s">
        <v>188</v>
      </c>
      <c r="L23" s="29" t="s">
        <v>21</v>
      </c>
      <c r="M23" s="9" t="s">
        <v>22</v>
      </c>
      <c r="N23" s="9" t="s">
        <v>23</v>
      </c>
      <c r="O23" s="31" t="s">
        <v>207</v>
      </c>
      <c r="P23" s="31" t="s">
        <v>136</v>
      </c>
      <c r="Q23" s="33" t="s">
        <v>208</v>
      </c>
      <c r="R23" s="33" t="s">
        <v>133</v>
      </c>
      <c r="S23" s="14">
        <v>42</v>
      </c>
      <c r="T23">
        <v>4</v>
      </c>
      <c r="U23" s="2">
        <v>295</v>
      </c>
      <c r="V23" s="2">
        <v>540</v>
      </c>
      <c r="W23" s="2">
        <v>245</v>
      </c>
      <c r="X23" s="2">
        <f t="shared" si="0"/>
        <v>1180</v>
      </c>
      <c r="Y23" s="2">
        <f t="shared" si="1"/>
        <v>2160</v>
      </c>
    </row>
    <row r="24" spans="1:25" x14ac:dyDescent="0.25">
      <c r="A24" s="3" t="s">
        <v>53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27</v>
      </c>
      <c r="H24" t="s">
        <v>144</v>
      </c>
      <c r="I24" s="27" t="s">
        <v>181</v>
      </c>
      <c r="J24" s="27" t="s">
        <v>141</v>
      </c>
      <c r="K24" s="29" t="s">
        <v>202</v>
      </c>
      <c r="L24" s="29" t="s">
        <v>54</v>
      </c>
      <c r="M24" s="9" t="s">
        <v>22</v>
      </c>
      <c r="N24" s="9" t="s">
        <v>23</v>
      </c>
      <c r="O24" s="31" t="s">
        <v>204</v>
      </c>
      <c r="P24" s="31" t="s">
        <v>137</v>
      </c>
      <c r="Q24" s="33" t="s">
        <v>208</v>
      </c>
      <c r="R24" s="33" t="s">
        <v>133</v>
      </c>
      <c r="S24" s="14">
        <v>38</v>
      </c>
      <c r="T24">
        <v>2</v>
      </c>
      <c r="U24" s="2">
        <v>1898</v>
      </c>
      <c r="V24" s="2">
        <v>3375</v>
      </c>
      <c r="W24" s="2">
        <v>2954</v>
      </c>
      <c r="X24" s="2">
        <f t="shared" si="0"/>
        <v>3796</v>
      </c>
      <c r="Y24" s="2">
        <f t="shared" si="1"/>
        <v>6750</v>
      </c>
    </row>
    <row r="25" spans="1:25" x14ac:dyDescent="0.25">
      <c r="A25" s="3" t="s">
        <v>55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s="27" t="s">
        <v>184</v>
      </c>
      <c r="J25" s="27" t="s">
        <v>142</v>
      </c>
      <c r="K25" s="29" t="s">
        <v>190</v>
      </c>
      <c r="L25" s="29" t="s">
        <v>56</v>
      </c>
      <c r="M25" s="9" t="s">
        <v>22</v>
      </c>
      <c r="N25" s="9" t="s">
        <v>23</v>
      </c>
      <c r="O25" s="31" t="s">
        <v>205</v>
      </c>
      <c r="P25" s="31" t="s">
        <v>132</v>
      </c>
      <c r="Q25" s="33" t="s">
        <v>209</v>
      </c>
      <c r="R25" s="33" t="s">
        <v>134</v>
      </c>
      <c r="S25" s="14">
        <v>42</v>
      </c>
      <c r="T25">
        <v>1</v>
      </c>
      <c r="U25" s="2">
        <v>1266</v>
      </c>
      <c r="V25" s="2">
        <v>2320</v>
      </c>
      <c r="W25" s="2">
        <v>1054</v>
      </c>
      <c r="X25" s="2">
        <f t="shared" si="0"/>
        <v>1266</v>
      </c>
      <c r="Y25" s="2">
        <f t="shared" si="1"/>
        <v>2320</v>
      </c>
    </row>
    <row r="26" spans="1:25" x14ac:dyDescent="0.25">
      <c r="A26" s="3" t="s">
        <v>57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27</v>
      </c>
      <c r="H26" t="s">
        <v>144</v>
      </c>
      <c r="I26" s="27" t="s">
        <v>186</v>
      </c>
      <c r="J26" s="27" t="s">
        <v>139</v>
      </c>
      <c r="K26" s="29" t="s">
        <v>188</v>
      </c>
      <c r="L26" s="29" t="s">
        <v>21</v>
      </c>
      <c r="M26" s="9" t="s">
        <v>22</v>
      </c>
      <c r="N26" s="9" t="s">
        <v>23</v>
      </c>
      <c r="O26" s="31" t="s">
        <v>205</v>
      </c>
      <c r="P26" s="31" t="s">
        <v>132</v>
      </c>
      <c r="Q26" s="33" t="s">
        <v>208</v>
      </c>
      <c r="R26" s="33" t="s">
        <v>133</v>
      </c>
      <c r="S26" s="14">
        <v>42</v>
      </c>
      <c r="T26">
        <v>2</v>
      </c>
      <c r="U26" s="2">
        <v>1252</v>
      </c>
      <c r="V26" s="2">
        <v>2295</v>
      </c>
      <c r="W26" s="2">
        <v>2086</v>
      </c>
      <c r="X26" s="2">
        <f t="shared" si="0"/>
        <v>2504</v>
      </c>
      <c r="Y26" s="2">
        <f t="shared" si="1"/>
        <v>4590</v>
      </c>
    </row>
    <row r="27" spans="1:25" x14ac:dyDescent="0.25">
      <c r="A27" s="3" t="s">
        <v>58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s="27" t="s">
        <v>181</v>
      </c>
      <c r="J27" s="27" t="s">
        <v>141</v>
      </c>
      <c r="K27" s="29" t="s">
        <v>192</v>
      </c>
      <c r="L27" s="29" t="s">
        <v>28</v>
      </c>
      <c r="M27" s="9" t="s">
        <v>22</v>
      </c>
      <c r="N27" s="9" t="s">
        <v>23</v>
      </c>
      <c r="O27" s="31" t="s">
        <v>205</v>
      </c>
      <c r="P27" s="31" t="s">
        <v>132</v>
      </c>
      <c r="Q27" s="33" t="s">
        <v>208</v>
      </c>
      <c r="R27" s="33" t="s">
        <v>133</v>
      </c>
      <c r="S27" s="14">
        <v>42</v>
      </c>
      <c r="T27">
        <v>2</v>
      </c>
      <c r="U27" s="2">
        <v>1252</v>
      </c>
      <c r="V27" s="2">
        <v>2295</v>
      </c>
      <c r="W27" s="2">
        <v>2086</v>
      </c>
      <c r="X27" s="2">
        <f t="shared" si="0"/>
        <v>2504</v>
      </c>
      <c r="Y27" s="2">
        <f t="shared" si="1"/>
        <v>4590</v>
      </c>
    </row>
    <row r="28" spans="1:25" x14ac:dyDescent="0.25">
      <c r="A28" s="3" t="s">
        <v>59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27</v>
      </c>
      <c r="H28" t="s">
        <v>145</v>
      </c>
      <c r="I28" s="27" t="s">
        <v>185</v>
      </c>
      <c r="J28" s="27" t="s">
        <v>140</v>
      </c>
      <c r="K28" s="29" t="s">
        <v>189</v>
      </c>
      <c r="L28" s="29" t="s">
        <v>24</v>
      </c>
      <c r="M28" s="9" t="s">
        <v>22</v>
      </c>
      <c r="N28" s="9" t="s">
        <v>23</v>
      </c>
      <c r="O28" s="31" t="s">
        <v>205</v>
      </c>
      <c r="P28" s="31" t="s">
        <v>132</v>
      </c>
      <c r="Q28" s="33" t="s">
        <v>208</v>
      </c>
      <c r="R28" s="33" t="s">
        <v>133</v>
      </c>
      <c r="S28" s="14">
        <v>38</v>
      </c>
      <c r="T28">
        <v>1</v>
      </c>
      <c r="U28" s="2">
        <v>1252</v>
      </c>
      <c r="V28" s="2">
        <v>2295</v>
      </c>
      <c r="W28" s="2">
        <v>1043</v>
      </c>
      <c r="X28" s="2">
        <f t="shared" si="0"/>
        <v>1252</v>
      </c>
      <c r="Y28" s="2">
        <f t="shared" si="1"/>
        <v>2295</v>
      </c>
    </row>
    <row r="29" spans="1:25" x14ac:dyDescent="0.25">
      <c r="A29" s="3" t="s">
        <v>60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27</v>
      </c>
      <c r="H29" t="s">
        <v>145</v>
      </c>
      <c r="I29" s="27" t="s">
        <v>186</v>
      </c>
      <c r="J29" s="27" t="s">
        <v>139</v>
      </c>
      <c r="K29" s="29" t="s">
        <v>188</v>
      </c>
      <c r="L29" s="29" t="s">
        <v>21</v>
      </c>
      <c r="M29" s="9" t="s">
        <v>22</v>
      </c>
      <c r="N29" s="9" t="s">
        <v>23</v>
      </c>
      <c r="O29" s="31" t="s">
        <v>207</v>
      </c>
      <c r="P29" s="31" t="s">
        <v>136</v>
      </c>
      <c r="Q29" s="33" t="s">
        <v>208</v>
      </c>
      <c r="R29" s="33" t="s">
        <v>133</v>
      </c>
      <c r="S29" s="14">
        <v>40</v>
      </c>
      <c r="T29">
        <v>1</v>
      </c>
      <c r="U29" s="2">
        <v>295</v>
      </c>
      <c r="V29" s="2">
        <v>540</v>
      </c>
      <c r="W29" s="2">
        <v>245</v>
      </c>
      <c r="X29" s="2">
        <f t="shared" si="0"/>
        <v>295</v>
      </c>
      <c r="Y29" s="2">
        <f t="shared" si="1"/>
        <v>540</v>
      </c>
    </row>
    <row r="30" spans="1:25" x14ac:dyDescent="0.25">
      <c r="A30" s="3" t="s">
        <v>61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27</v>
      </c>
      <c r="H30" t="s">
        <v>144</v>
      </c>
      <c r="I30" s="27" t="s">
        <v>186</v>
      </c>
      <c r="J30" s="27" t="s">
        <v>139</v>
      </c>
      <c r="K30" s="29" t="s">
        <v>203</v>
      </c>
      <c r="L30" s="29" t="s">
        <v>33</v>
      </c>
      <c r="M30" s="9" t="s">
        <v>22</v>
      </c>
      <c r="N30" s="9" t="s">
        <v>23</v>
      </c>
      <c r="O30" s="31" t="s">
        <v>204</v>
      </c>
      <c r="P30" s="31" t="s">
        <v>137</v>
      </c>
      <c r="Q30" s="33" t="s">
        <v>209</v>
      </c>
      <c r="R30" s="33" t="s">
        <v>134</v>
      </c>
      <c r="S30" s="14">
        <v>44</v>
      </c>
      <c r="T30">
        <v>1</v>
      </c>
      <c r="U30" s="2">
        <v>1912</v>
      </c>
      <c r="V30" s="2">
        <v>3400</v>
      </c>
      <c r="W30" s="2">
        <v>1488</v>
      </c>
      <c r="X30" s="2">
        <f t="shared" si="0"/>
        <v>1912</v>
      </c>
      <c r="Y30" s="2">
        <f t="shared" si="1"/>
        <v>3400</v>
      </c>
    </row>
    <row r="31" spans="1:25" x14ac:dyDescent="0.25">
      <c r="A31" s="3" t="s">
        <v>62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s="27" t="s">
        <v>181</v>
      </c>
      <c r="J31" s="27" t="s">
        <v>141</v>
      </c>
      <c r="K31" s="29" t="s">
        <v>192</v>
      </c>
      <c r="L31" s="29" t="s">
        <v>28</v>
      </c>
      <c r="M31" s="9" t="s">
        <v>22</v>
      </c>
      <c r="N31" s="9" t="s">
        <v>23</v>
      </c>
      <c r="O31" s="31" t="s">
        <v>205</v>
      </c>
      <c r="P31" s="31" t="s">
        <v>132</v>
      </c>
      <c r="Q31" s="33" t="s">
        <v>208</v>
      </c>
      <c r="R31" s="33" t="s">
        <v>133</v>
      </c>
      <c r="S31" s="14">
        <v>38</v>
      </c>
      <c r="T31">
        <v>1</v>
      </c>
      <c r="U31" s="2">
        <v>1252</v>
      </c>
      <c r="V31" s="2">
        <v>2295</v>
      </c>
      <c r="W31" s="2">
        <v>1043</v>
      </c>
      <c r="X31" s="2">
        <f t="shared" si="0"/>
        <v>1252</v>
      </c>
      <c r="Y31" s="2">
        <f t="shared" si="1"/>
        <v>2295</v>
      </c>
    </row>
    <row r="32" spans="1:25" x14ac:dyDescent="0.25">
      <c r="A32" s="3" t="s">
        <v>63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31</v>
      </c>
      <c r="H32" t="s">
        <v>144</v>
      </c>
      <c r="I32" s="27" t="s">
        <v>183</v>
      </c>
      <c r="J32" s="27" t="s">
        <v>64</v>
      </c>
      <c r="K32" s="29" t="s">
        <v>197</v>
      </c>
      <c r="L32" s="29" t="s">
        <v>65</v>
      </c>
      <c r="M32" s="9" t="s">
        <v>22</v>
      </c>
      <c r="N32" s="9" t="s">
        <v>23</v>
      </c>
      <c r="O32" s="31" t="s">
        <v>205</v>
      </c>
      <c r="P32" s="31" t="s">
        <v>132</v>
      </c>
      <c r="Q32" s="33" t="s">
        <v>208</v>
      </c>
      <c r="R32" s="33" t="s">
        <v>133</v>
      </c>
      <c r="S32" s="14">
        <v>38</v>
      </c>
      <c r="T32">
        <v>3</v>
      </c>
      <c r="U32" s="2">
        <v>1252</v>
      </c>
      <c r="V32" s="2">
        <v>2295</v>
      </c>
      <c r="W32" s="2">
        <v>3129</v>
      </c>
      <c r="X32" s="2">
        <f t="shared" si="0"/>
        <v>3756</v>
      </c>
      <c r="Y32" s="2">
        <f t="shared" si="1"/>
        <v>6885</v>
      </c>
    </row>
    <row r="33" spans="1:25" x14ac:dyDescent="0.25">
      <c r="A33" s="3" t="s">
        <v>66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s="27" t="s">
        <v>181</v>
      </c>
      <c r="J33" s="27" t="s">
        <v>141</v>
      </c>
      <c r="K33" s="29" t="s">
        <v>192</v>
      </c>
      <c r="L33" s="29" t="s">
        <v>28</v>
      </c>
      <c r="M33" s="9" t="s">
        <v>22</v>
      </c>
      <c r="N33" s="9" t="s">
        <v>23</v>
      </c>
      <c r="O33" s="31" t="s">
        <v>206</v>
      </c>
      <c r="P33" s="31" t="s">
        <v>135</v>
      </c>
      <c r="Q33" s="33" t="s">
        <v>209</v>
      </c>
      <c r="R33" s="33" t="s">
        <v>134</v>
      </c>
      <c r="S33" s="14">
        <v>38</v>
      </c>
      <c r="T33">
        <v>2</v>
      </c>
      <c r="U33" s="2">
        <v>420</v>
      </c>
      <c r="V33" s="2">
        <v>769</v>
      </c>
      <c r="W33" s="2">
        <v>698</v>
      </c>
      <c r="X33" s="2">
        <f t="shared" si="0"/>
        <v>840</v>
      </c>
      <c r="Y33" s="2">
        <f t="shared" si="1"/>
        <v>1538</v>
      </c>
    </row>
    <row r="34" spans="1:25" x14ac:dyDescent="0.25">
      <c r="A34" s="3" t="s">
        <v>67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27</v>
      </c>
      <c r="H34" t="s">
        <v>145</v>
      </c>
      <c r="I34" s="27" t="s">
        <v>182</v>
      </c>
      <c r="J34" s="27" t="s">
        <v>143</v>
      </c>
      <c r="K34" s="29" t="s">
        <v>187</v>
      </c>
      <c r="L34" s="29" t="s">
        <v>43</v>
      </c>
      <c r="M34" s="9" t="s">
        <v>22</v>
      </c>
      <c r="N34" s="9" t="s">
        <v>23</v>
      </c>
      <c r="O34" s="31" t="s">
        <v>205</v>
      </c>
      <c r="P34" s="31" t="s">
        <v>132</v>
      </c>
      <c r="Q34" s="33" t="s">
        <v>208</v>
      </c>
      <c r="R34" s="33" t="s">
        <v>133</v>
      </c>
      <c r="S34" s="14">
        <v>46</v>
      </c>
      <c r="T34">
        <v>1</v>
      </c>
      <c r="U34" s="2">
        <v>1252</v>
      </c>
      <c r="V34" s="2">
        <v>2295</v>
      </c>
      <c r="W34" s="2">
        <v>1043</v>
      </c>
      <c r="X34" s="2">
        <f t="shared" ref="X34:X65" si="2">T34*U34</f>
        <v>1252</v>
      </c>
      <c r="Y34" s="2">
        <f t="shared" ref="Y34:Y65" si="3">T34*V34</f>
        <v>2295</v>
      </c>
    </row>
    <row r="35" spans="1:25" x14ac:dyDescent="0.25">
      <c r="A35" s="3" t="s">
        <v>68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s="27" t="s">
        <v>186</v>
      </c>
      <c r="J35" s="27" t="s">
        <v>139</v>
      </c>
      <c r="K35" s="29" t="s">
        <v>188</v>
      </c>
      <c r="L35" s="29" t="s">
        <v>21</v>
      </c>
      <c r="M35" s="9" t="s">
        <v>22</v>
      </c>
      <c r="N35" s="9" t="s">
        <v>23</v>
      </c>
      <c r="O35" s="31" t="s">
        <v>206</v>
      </c>
      <c r="P35" s="31" t="s">
        <v>135</v>
      </c>
      <c r="Q35" s="33" t="s">
        <v>209</v>
      </c>
      <c r="R35" s="33" t="s">
        <v>134</v>
      </c>
      <c r="S35" s="14">
        <v>46</v>
      </c>
      <c r="T35">
        <v>1</v>
      </c>
      <c r="U35" s="2">
        <v>420</v>
      </c>
      <c r="V35" s="2">
        <v>769</v>
      </c>
      <c r="W35" s="2">
        <v>349</v>
      </c>
      <c r="X35" s="2">
        <f t="shared" si="2"/>
        <v>420</v>
      </c>
      <c r="Y35" s="2">
        <f t="shared" si="3"/>
        <v>769</v>
      </c>
    </row>
    <row r="36" spans="1:25" x14ac:dyDescent="0.25">
      <c r="A36" s="3" t="s">
        <v>69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s="27" t="s">
        <v>186</v>
      </c>
      <c r="J36" s="27" t="s">
        <v>139</v>
      </c>
      <c r="K36" s="29" t="s">
        <v>188</v>
      </c>
      <c r="L36" s="29" t="s">
        <v>21</v>
      </c>
      <c r="M36" s="9" t="s">
        <v>22</v>
      </c>
      <c r="N36" s="9" t="s">
        <v>23</v>
      </c>
      <c r="O36" s="31" t="s">
        <v>205</v>
      </c>
      <c r="P36" s="31" t="s">
        <v>132</v>
      </c>
      <c r="Q36" s="33" t="s">
        <v>209</v>
      </c>
      <c r="R36" s="33" t="s">
        <v>134</v>
      </c>
      <c r="S36" s="14">
        <v>38</v>
      </c>
      <c r="T36">
        <v>1</v>
      </c>
      <c r="U36" s="2">
        <v>1266</v>
      </c>
      <c r="V36" s="2">
        <v>2320</v>
      </c>
      <c r="W36" s="2">
        <v>1054</v>
      </c>
      <c r="X36" s="2">
        <f t="shared" si="2"/>
        <v>1266</v>
      </c>
      <c r="Y36" s="2">
        <f t="shared" si="3"/>
        <v>2320</v>
      </c>
    </row>
    <row r="37" spans="1:25" x14ac:dyDescent="0.25">
      <c r="A37" s="3" t="s">
        <v>70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s="27" t="s">
        <v>181</v>
      </c>
      <c r="J37" s="27" t="s">
        <v>141</v>
      </c>
      <c r="K37" s="29" t="s">
        <v>192</v>
      </c>
      <c r="L37" s="29" t="s">
        <v>28</v>
      </c>
      <c r="M37" s="9" t="s">
        <v>22</v>
      </c>
      <c r="N37" s="9" t="s">
        <v>23</v>
      </c>
      <c r="O37" s="31" t="s">
        <v>205</v>
      </c>
      <c r="P37" s="31" t="s">
        <v>132</v>
      </c>
      <c r="Q37" s="33" t="s">
        <v>209</v>
      </c>
      <c r="R37" s="33" t="s">
        <v>134</v>
      </c>
      <c r="S37" s="14">
        <v>42</v>
      </c>
      <c r="T37">
        <v>4</v>
      </c>
      <c r="U37" s="2">
        <v>1266</v>
      </c>
      <c r="V37" s="2">
        <v>2320</v>
      </c>
      <c r="W37" s="2">
        <v>4216</v>
      </c>
      <c r="X37" s="2">
        <f t="shared" si="2"/>
        <v>5064</v>
      </c>
      <c r="Y37" s="2">
        <f t="shared" si="3"/>
        <v>9280</v>
      </c>
    </row>
    <row r="38" spans="1:25" x14ac:dyDescent="0.25">
      <c r="A38" s="3" t="s">
        <v>71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s="27" t="s">
        <v>186</v>
      </c>
      <c r="J38" s="27" t="s">
        <v>139</v>
      </c>
      <c r="K38" s="29" t="s">
        <v>188</v>
      </c>
      <c r="L38" s="29" t="s">
        <v>21</v>
      </c>
      <c r="M38" s="9" t="s">
        <v>22</v>
      </c>
      <c r="N38" s="9" t="s">
        <v>23</v>
      </c>
      <c r="O38" s="31" t="s">
        <v>206</v>
      </c>
      <c r="P38" s="31" t="s">
        <v>135</v>
      </c>
      <c r="Q38" s="33" t="s">
        <v>209</v>
      </c>
      <c r="R38" s="33" t="s">
        <v>134</v>
      </c>
      <c r="S38" s="14">
        <v>46</v>
      </c>
      <c r="T38">
        <v>4</v>
      </c>
      <c r="U38" s="2">
        <v>420</v>
      </c>
      <c r="V38" s="2">
        <v>769</v>
      </c>
      <c r="W38" s="2">
        <v>1396</v>
      </c>
      <c r="X38" s="2">
        <f t="shared" si="2"/>
        <v>1680</v>
      </c>
      <c r="Y38" s="2">
        <f t="shared" si="3"/>
        <v>3076</v>
      </c>
    </row>
    <row r="39" spans="1:25" x14ac:dyDescent="0.25">
      <c r="A39" s="3" t="s">
        <v>72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27</v>
      </c>
      <c r="H39" t="s">
        <v>145</v>
      </c>
      <c r="I39" s="27" t="s">
        <v>181</v>
      </c>
      <c r="J39" s="27" t="s">
        <v>141</v>
      </c>
      <c r="K39" s="29" t="s">
        <v>192</v>
      </c>
      <c r="L39" s="29" t="s">
        <v>28</v>
      </c>
      <c r="M39" s="9" t="s">
        <v>22</v>
      </c>
      <c r="N39" s="9" t="s">
        <v>23</v>
      </c>
      <c r="O39" s="31" t="s">
        <v>205</v>
      </c>
      <c r="P39" s="31" t="s">
        <v>132</v>
      </c>
      <c r="Q39" s="33" t="s">
        <v>208</v>
      </c>
      <c r="R39" s="33" t="s">
        <v>133</v>
      </c>
      <c r="S39" s="14">
        <v>38</v>
      </c>
      <c r="T39">
        <v>2</v>
      </c>
      <c r="U39" s="2">
        <v>1252</v>
      </c>
      <c r="V39" s="2">
        <v>2295</v>
      </c>
      <c r="W39" s="2">
        <v>2086</v>
      </c>
      <c r="X39" s="2">
        <f t="shared" si="2"/>
        <v>2504</v>
      </c>
      <c r="Y39" s="2">
        <f t="shared" si="3"/>
        <v>4590</v>
      </c>
    </row>
    <row r="40" spans="1:25" x14ac:dyDescent="0.25">
      <c r="A40" s="3" t="s">
        <v>73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s="27" t="s">
        <v>181</v>
      </c>
      <c r="J40" s="27" t="s">
        <v>141</v>
      </c>
      <c r="K40" s="29" t="s">
        <v>202</v>
      </c>
      <c r="L40" s="29" t="s">
        <v>54</v>
      </c>
      <c r="M40" s="9" t="s">
        <v>22</v>
      </c>
      <c r="N40" s="9" t="s">
        <v>23</v>
      </c>
      <c r="O40" s="31" t="s">
        <v>205</v>
      </c>
      <c r="P40" s="31" t="s">
        <v>132</v>
      </c>
      <c r="Q40" s="33" t="s">
        <v>209</v>
      </c>
      <c r="R40" s="33" t="s">
        <v>134</v>
      </c>
      <c r="S40" s="14">
        <v>42</v>
      </c>
      <c r="T40">
        <v>1</v>
      </c>
      <c r="U40" s="2">
        <v>1266</v>
      </c>
      <c r="V40" s="2">
        <v>2320</v>
      </c>
      <c r="W40" s="2">
        <v>1054</v>
      </c>
      <c r="X40" s="2">
        <f t="shared" si="2"/>
        <v>1266</v>
      </c>
      <c r="Y40" s="2">
        <f t="shared" si="3"/>
        <v>2320</v>
      </c>
    </row>
    <row r="41" spans="1:25" x14ac:dyDescent="0.25">
      <c r="A41" s="3" t="s">
        <v>74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s="27" t="s">
        <v>186</v>
      </c>
      <c r="J41" s="27" t="s">
        <v>139</v>
      </c>
      <c r="K41" s="29" t="s">
        <v>203</v>
      </c>
      <c r="L41" s="29" t="s">
        <v>33</v>
      </c>
      <c r="M41" s="9" t="s">
        <v>22</v>
      </c>
      <c r="N41" s="9" t="s">
        <v>23</v>
      </c>
      <c r="O41" s="31" t="s">
        <v>205</v>
      </c>
      <c r="P41" s="31" t="s">
        <v>132</v>
      </c>
      <c r="Q41" s="33" t="s">
        <v>209</v>
      </c>
      <c r="R41" s="33" t="s">
        <v>134</v>
      </c>
      <c r="S41" s="14">
        <v>42</v>
      </c>
      <c r="T41">
        <v>1</v>
      </c>
      <c r="U41" s="2">
        <v>1266</v>
      </c>
      <c r="V41" s="2">
        <v>2320</v>
      </c>
      <c r="W41" s="2">
        <v>1054</v>
      </c>
      <c r="X41" s="2">
        <f t="shared" si="2"/>
        <v>1266</v>
      </c>
      <c r="Y41" s="2">
        <f t="shared" si="3"/>
        <v>2320</v>
      </c>
    </row>
    <row r="42" spans="1:25" x14ac:dyDescent="0.25">
      <c r="A42" s="3" t="s">
        <v>75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27</v>
      </c>
      <c r="H42" t="s">
        <v>144</v>
      </c>
      <c r="I42" s="27" t="s">
        <v>181</v>
      </c>
      <c r="J42" s="27" t="s">
        <v>141</v>
      </c>
      <c r="K42" s="29" t="s">
        <v>196</v>
      </c>
      <c r="L42" s="29" t="s">
        <v>39</v>
      </c>
      <c r="M42" s="9" t="s">
        <v>22</v>
      </c>
      <c r="N42" s="9" t="s">
        <v>23</v>
      </c>
      <c r="O42" s="31" t="s">
        <v>205</v>
      </c>
      <c r="P42" s="31" t="s">
        <v>132</v>
      </c>
      <c r="Q42" s="33" t="s">
        <v>209</v>
      </c>
      <c r="R42" s="33" t="s">
        <v>134</v>
      </c>
      <c r="S42" s="14">
        <v>42</v>
      </c>
      <c r="T42">
        <v>3</v>
      </c>
      <c r="U42" s="2">
        <v>1266</v>
      </c>
      <c r="V42" s="2">
        <v>2320</v>
      </c>
      <c r="W42" s="2">
        <v>3162</v>
      </c>
      <c r="X42" s="2">
        <f t="shared" si="2"/>
        <v>3798</v>
      </c>
      <c r="Y42" s="2">
        <f t="shared" si="3"/>
        <v>6960</v>
      </c>
    </row>
    <row r="43" spans="1:25" x14ac:dyDescent="0.25">
      <c r="A43" s="3" t="s">
        <v>76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s="27" t="s">
        <v>186</v>
      </c>
      <c r="J43" s="27" t="s">
        <v>139</v>
      </c>
      <c r="K43" s="29" t="s">
        <v>188</v>
      </c>
      <c r="L43" s="29" t="s">
        <v>21</v>
      </c>
      <c r="M43" s="9" t="s">
        <v>22</v>
      </c>
      <c r="N43" s="9" t="s">
        <v>23</v>
      </c>
      <c r="O43" s="31" t="s">
        <v>207</v>
      </c>
      <c r="P43" s="31" t="s">
        <v>136</v>
      </c>
      <c r="Q43" s="33" t="s">
        <v>209</v>
      </c>
      <c r="R43" s="33" t="s">
        <v>134</v>
      </c>
      <c r="S43" s="14">
        <v>40</v>
      </c>
      <c r="T43">
        <v>1</v>
      </c>
      <c r="U43" s="2">
        <v>308</v>
      </c>
      <c r="V43" s="2">
        <v>565</v>
      </c>
      <c r="W43" s="2">
        <v>257</v>
      </c>
      <c r="X43" s="2">
        <f t="shared" si="2"/>
        <v>308</v>
      </c>
      <c r="Y43" s="2">
        <f t="shared" si="3"/>
        <v>565</v>
      </c>
    </row>
    <row r="44" spans="1:25" x14ac:dyDescent="0.25">
      <c r="A44" s="3" t="s">
        <v>77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s="27" t="s">
        <v>185</v>
      </c>
      <c r="J44" s="27" t="s">
        <v>140</v>
      </c>
      <c r="K44" s="29" t="s">
        <v>189</v>
      </c>
      <c r="L44" s="29" t="s">
        <v>24</v>
      </c>
      <c r="M44" s="9" t="s">
        <v>22</v>
      </c>
      <c r="N44" s="9" t="s">
        <v>23</v>
      </c>
      <c r="O44" s="31" t="s">
        <v>205</v>
      </c>
      <c r="P44" s="31" t="s">
        <v>132</v>
      </c>
      <c r="Q44" s="33" t="s">
        <v>208</v>
      </c>
      <c r="R44" s="33" t="s">
        <v>133</v>
      </c>
      <c r="S44" s="14">
        <v>38</v>
      </c>
      <c r="T44">
        <v>1</v>
      </c>
      <c r="U44" s="2">
        <v>1252</v>
      </c>
      <c r="V44" s="2">
        <v>2295</v>
      </c>
      <c r="W44" s="2">
        <v>1043</v>
      </c>
      <c r="X44" s="2">
        <f t="shared" si="2"/>
        <v>1252</v>
      </c>
      <c r="Y44" s="2">
        <f t="shared" si="3"/>
        <v>2295</v>
      </c>
    </row>
    <row r="45" spans="1:25" x14ac:dyDescent="0.25">
      <c r="A45" s="3" t="s">
        <v>78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s="27" t="s">
        <v>185</v>
      </c>
      <c r="J45" s="27" t="s">
        <v>140</v>
      </c>
      <c r="K45" s="29" t="s">
        <v>189</v>
      </c>
      <c r="L45" s="29" t="s">
        <v>24</v>
      </c>
      <c r="M45" s="9" t="s">
        <v>22</v>
      </c>
      <c r="N45" s="9" t="s">
        <v>23</v>
      </c>
      <c r="O45" s="31" t="s">
        <v>205</v>
      </c>
      <c r="P45" s="31" t="s">
        <v>132</v>
      </c>
      <c r="Q45" s="33" t="s">
        <v>208</v>
      </c>
      <c r="R45" s="33" t="s">
        <v>133</v>
      </c>
      <c r="S45" s="14">
        <v>38</v>
      </c>
      <c r="T45">
        <v>1</v>
      </c>
      <c r="U45" s="2">
        <v>1252</v>
      </c>
      <c r="V45" s="2">
        <v>2295</v>
      </c>
      <c r="W45" s="2">
        <v>1043</v>
      </c>
      <c r="X45" s="2">
        <f t="shared" si="2"/>
        <v>1252</v>
      </c>
      <c r="Y45" s="2">
        <f t="shared" si="3"/>
        <v>2295</v>
      </c>
    </row>
    <row r="46" spans="1:25" x14ac:dyDescent="0.25">
      <c r="A46" s="3" t="s">
        <v>79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27</v>
      </c>
      <c r="H46" t="s">
        <v>144</v>
      </c>
      <c r="I46" s="27" t="s">
        <v>186</v>
      </c>
      <c r="J46" s="27" t="s">
        <v>139</v>
      </c>
      <c r="K46" s="29" t="s">
        <v>203</v>
      </c>
      <c r="L46" s="29" t="s">
        <v>33</v>
      </c>
      <c r="M46" s="9" t="s">
        <v>22</v>
      </c>
      <c r="N46" s="9" t="s">
        <v>23</v>
      </c>
      <c r="O46" s="31" t="s">
        <v>205</v>
      </c>
      <c r="P46" s="31" t="s">
        <v>132</v>
      </c>
      <c r="Q46" s="33" t="s">
        <v>209</v>
      </c>
      <c r="R46" s="33" t="s">
        <v>134</v>
      </c>
      <c r="S46" s="14">
        <v>38</v>
      </c>
      <c r="T46">
        <v>2</v>
      </c>
      <c r="U46" s="2">
        <v>1266</v>
      </c>
      <c r="V46" s="2">
        <v>2320</v>
      </c>
      <c r="W46" s="2">
        <v>2108</v>
      </c>
      <c r="X46" s="2">
        <f t="shared" si="2"/>
        <v>2532</v>
      </c>
      <c r="Y46" s="2">
        <f t="shared" si="3"/>
        <v>4640</v>
      </c>
    </row>
    <row r="47" spans="1:25" x14ac:dyDescent="0.25">
      <c r="A47" s="3" t="s">
        <v>80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27</v>
      </c>
      <c r="H47" t="s">
        <v>145</v>
      </c>
      <c r="I47" s="27" t="s">
        <v>186</v>
      </c>
      <c r="J47" s="27" t="s">
        <v>139</v>
      </c>
      <c r="K47" s="29" t="s">
        <v>188</v>
      </c>
      <c r="L47" s="29" t="s">
        <v>21</v>
      </c>
      <c r="M47" s="9" t="s">
        <v>22</v>
      </c>
      <c r="N47" s="9" t="s">
        <v>23</v>
      </c>
      <c r="O47" s="31" t="s">
        <v>205</v>
      </c>
      <c r="P47" s="31" t="s">
        <v>132</v>
      </c>
      <c r="Q47" s="33" t="s">
        <v>208</v>
      </c>
      <c r="R47" s="33" t="s">
        <v>133</v>
      </c>
      <c r="S47" s="14">
        <v>46</v>
      </c>
      <c r="T47">
        <v>1</v>
      </c>
      <c r="U47" s="2">
        <v>1252</v>
      </c>
      <c r="V47" s="2">
        <v>2295</v>
      </c>
      <c r="W47" s="2">
        <v>1043</v>
      </c>
      <c r="X47" s="2">
        <f t="shared" si="2"/>
        <v>1252</v>
      </c>
      <c r="Y47" s="2">
        <f t="shared" si="3"/>
        <v>2295</v>
      </c>
    </row>
    <row r="48" spans="1:25" x14ac:dyDescent="0.25">
      <c r="A48" s="3" t="s">
        <v>81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27</v>
      </c>
      <c r="H48" t="s">
        <v>144</v>
      </c>
      <c r="I48" s="27" t="s">
        <v>181</v>
      </c>
      <c r="J48" s="27" t="s">
        <v>141</v>
      </c>
      <c r="K48" s="29" t="s">
        <v>202</v>
      </c>
      <c r="L48" s="29" t="s">
        <v>54</v>
      </c>
      <c r="M48" s="9" t="s">
        <v>22</v>
      </c>
      <c r="N48" s="9" t="s">
        <v>23</v>
      </c>
      <c r="O48" s="31" t="s">
        <v>206</v>
      </c>
      <c r="P48" s="31" t="s">
        <v>135</v>
      </c>
      <c r="Q48" s="33" t="s">
        <v>209</v>
      </c>
      <c r="R48" s="33" t="s">
        <v>134</v>
      </c>
      <c r="S48" s="14">
        <v>46</v>
      </c>
      <c r="T48">
        <v>1</v>
      </c>
      <c r="U48" s="2">
        <v>420</v>
      </c>
      <c r="V48" s="2">
        <v>769</v>
      </c>
      <c r="W48" s="2">
        <v>349</v>
      </c>
      <c r="X48" s="2">
        <f t="shared" si="2"/>
        <v>420</v>
      </c>
      <c r="Y48" s="2">
        <f t="shared" si="3"/>
        <v>769</v>
      </c>
    </row>
    <row r="49" spans="1:25" x14ac:dyDescent="0.25">
      <c r="A49" s="3" t="s">
        <v>82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27</v>
      </c>
      <c r="H49" t="s">
        <v>144</v>
      </c>
      <c r="I49" s="27" t="s">
        <v>186</v>
      </c>
      <c r="J49" s="27" t="s">
        <v>139</v>
      </c>
      <c r="K49" s="29" t="s">
        <v>188</v>
      </c>
      <c r="L49" s="29" t="s">
        <v>21</v>
      </c>
      <c r="M49" s="9" t="s">
        <v>22</v>
      </c>
      <c r="N49" s="9" t="s">
        <v>23</v>
      </c>
      <c r="O49" s="31" t="s">
        <v>205</v>
      </c>
      <c r="P49" s="31" t="s">
        <v>132</v>
      </c>
      <c r="Q49" s="33" t="s">
        <v>209</v>
      </c>
      <c r="R49" s="33" t="s">
        <v>134</v>
      </c>
      <c r="S49" s="14">
        <v>42</v>
      </c>
      <c r="T49">
        <v>1</v>
      </c>
      <c r="U49" s="2">
        <v>1266</v>
      </c>
      <c r="V49" s="2">
        <v>2320</v>
      </c>
      <c r="W49" s="2">
        <v>1054</v>
      </c>
      <c r="X49" s="2">
        <f t="shared" si="2"/>
        <v>1266</v>
      </c>
      <c r="Y49" s="2">
        <f t="shared" si="3"/>
        <v>2320</v>
      </c>
    </row>
    <row r="50" spans="1:25" x14ac:dyDescent="0.25">
      <c r="A50" s="3" t="s">
        <v>83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27</v>
      </c>
      <c r="H50" t="s">
        <v>144</v>
      </c>
      <c r="I50" s="27" t="s">
        <v>181</v>
      </c>
      <c r="J50" s="27" t="s">
        <v>141</v>
      </c>
      <c r="K50" s="29" t="s">
        <v>192</v>
      </c>
      <c r="L50" s="29" t="s">
        <v>28</v>
      </c>
      <c r="M50" s="9" t="s">
        <v>22</v>
      </c>
      <c r="N50" s="9" t="s">
        <v>23</v>
      </c>
      <c r="O50" s="31" t="s">
        <v>205</v>
      </c>
      <c r="P50" s="31" t="s">
        <v>132</v>
      </c>
      <c r="Q50" s="33" t="s">
        <v>208</v>
      </c>
      <c r="R50" s="33" t="s">
        <v>133</v>
      </c>
      <c r="S50" s="14">
        <v>38</v>
      </c>
      <c r="T50">
        <v>2</v>
      </c>
      <c r="U50" s="2">
        <v>1252</v>
      </c>
      <c r="V50" s="2">
        <v>2295</v>
      </c>
      <c r="W50" s="2">
        <v>2086</v>
      </c>
      <c r="X50" s="2">
        <f t="shared" si="2"/>
        <v>2504</v>
      </c>
      <c r="Y50" s="2">
        <f t="shared" si="3"/>
        <v>4590</v>
      </c>
    </row>
    <row r="51" spans="1:25" x14ac:dyDescent="0.25">
      <c r="A51" s="3" t="s">
        <v>84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s="27" t="s">
        <v>181</v>
      </c>
      <c r="J51" s="27" t="s">
        <v>141</v>
      </c>
      <c r="K51" s="29" t="s">
        <v>192</v>
      </c>
      <c r="L51" s="29" t="s">
        <v>28</v>
      </c>
      <c r="M51" s="9" t="s">
        <v>22</v>
      </c>
      <c r="N51" s="9" t="s">
        <v>23</v>
      </c>
      <c r="O51" s="31" t="s">
        <v>205</v>
      </c>
      <c r="P51" s="31" t="s">
        <v>132</v>
      </c>
      <c r="Q51" s="33" t="s">
        <v>208</v>
      </c>
      <c r="R51" s="33" t="s">
        <v>133</v>
      </c>
      <c r="S51" s="14">
        <v>38</v>
      </c>
      <c r="T51">
        <v>2</v>
      </c>
      <c r="U51" s="2">
        <v>1252</v>
      </c>
      <c r="V51" s="2">
        <v>2295</v>
      </c>
      <c r="W51" s="2">
        <v>2086</v>
      </c>
      <c r="X51" s="2">
        <f t="shared" si="2"/>
        <v>2504</v>
      </c>
      <c r="Y51" s="2">
        <f t="shared" si="3"/>
        <v>4590</v>
      </c>
    </row>
    <row r="52" spans="1:25" x14ac:dyDescent="0.25">
      <c r="A52" s="3" t="s">
        <v>85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27</v>
      </c>
      <c r="H52" t="s">
        <v>144</v>
      </c>
      <c r="I52" s="27" t="s">
        <v>183</v>
      </c>
      <c r="J52" s="27" t="s">
        <v>64</v>
      </c>
      <c r="K52" s="29" t="s">
        <v>198</v>
      </c>
      <c r="L52" s="29" t="s">
        <v>86</v>
      </c>
      <c r="M52" s="9" t="s">
        <v>22</v>
      </c>
      <c r="N52" s="9" t="s">
        <v>23</v>
      </c>
      <c r="O52" s="31" t="s">
        <v>205</v>
      </c>
      <c r="P52" s="31" t="s">
        <v>132</v>
      </c>
      <c r="Q52" s="33" t="s">
        <v>209</v>
      </c>
      <c r="R52" s="33" t="s">
        <v>134</v>
      </c>
      <c r="S52" s="14">
        <v>46</v>
      </c>
      <c r="T52">
        <v>1</v>
      </c>
      <c r="U52" s="2">
        <v>1266</v>
      </c>
      <c r="V52" s="2">
        <v>2320</v>
      </c>
      <c r="W52" s="2">
        <v>1054</v>
      </c>
      <c r="X52" s="2">
        <f t="shared" si="2"/>
        <v>1266</v>
      </c>
      <c r="Y52" s="2">
        <f t="shared" si="3"/>
        <v>2320</v>
      </c>
    </row>
    <row r="53" spans="1:25" x14ac:dyDescent="0.25">
      <c r="A53" s="3" t="s">
        <v>87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s="27" t="s">
        <v>186</v>
      </c>
      <c r="J53" s="27" t="s">
        <v>139</v>
      </c>
      <c r="K53" s="29" t="s">
        <v>203</v>
      </c>
      <c r="L53" s="29" t="s">
        <v>33</v>
      </c>
      <c r="M53" s="9" t="s">
        <v>22</v>
      </c>
      <c r="N53" s="9" t="s">
        <v>23</v>
      </c>
      <c r="O53" s="31" t="s">
        <v>205</v>
      </c>
      <c r="P53" s="31" t="s">
        <v>132</v>
      </c>
      <c r="Q53" s="33" t="s">
        <v>209</v>
      </c>
      <c r="R53" s="33" t="s">
        <v>134</v>
      </c>
      <c r="S53" s="14">
        <v>38</v>
      </c>
      <c r="T53">
        <v>2</v>
      </c>
      <c r="U53" s="2">
        <v>1266</v>
      </c>
      <c r="V53" s="2">
        <v>2320</v>
      </c>
      <c r="W53" s="2">
        <v>2108</v>
      </c>
      <c r="X53" s="2">
        <f t="shared" si="2"/>
        <v>2532</v>
      </c>
      <c r="Y53" s="2">
        <f t="shared" si="3"/>
        <v>4640</v>
      </c>
    </row>
    <row r="54" spans="1:25" x14ac:dyDescent="0.25">
      <c r="A54" s="3" t="s">
        <v>88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27</v>
      </c>
      <c r="H54" t="s">
        <v>145</v>
      </c>
      <c r="I54" s="27" t="s">
        <v>181</v>
      </c>
      <c r="J54" s="27" t="s">
        <v>141</v>
      </c>
      <c r="K54" s="29" t="s">
        <v>192</v>
      </c>
      <c r="L54" s="29" t="s">
        <v>28</v>
      </c>
      <c r="M54" s="9" t="s">
        <v>22</v>
      </c>
      <c r="N54" s="9" t="s">
        <v>23</v>
      </c>
      <c r="O54" s="31" t="s">
        <v>206</v>
      </c>
      <c r="P54" s="31" t="s">
        <v>135</v>
      </c>
      <c r="Q54" s="33" t="s">
        <v>209</v>
      </c>
      <c r="R54" s="33" t="s">
        <v>134</v>
      </c>
      <c r="S54" s="14">
        <v>42</v>
      </c>
      <c r="T54">
        <v>1</v>
      </c>
      <c r="U54" s="2">
        <v>420</v>
      </c>
      <c r="V54" s="2">
        <v>769</v>
      </c>
      <c r="W54" s="2">
        <v>349</v>
      </c>
      <c r="X54" s="2">
        <f t="shared" si="2"/>
        <v>420</v>
      </c>
      <c r="Y54" s="2">
        <f t="shared" si="3"/>
        <v>769</v>
      </c>
    </row>
    <row r="55" spans="1:25" x14ac:dyDescent="0.25">
      <c r="A55" s="3" t="s">
        <v>89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s="27" t="s">
        <v>184</v>
      </c>
      <c r="J55" s="27" t="s">
        <v>142</v>
      </c>
      <c r="K55" s="29" t="s">
        <v>194</v>
      </c>
      <c r="L55" s="29" t="s">
        <v>37</v>
      </c>
      <c r="M55" s="9" t="s">
        <v>22</v>
      </c>
      <c r="N55" s="9" t="s">
        <v>23</v>
      </c>
      <c r="O55" s="31" t="s">
        <v>205</v>
      </c>
      <c r="P55" s="31" t="s">
        <v>132</v>
      </c>
      <c r="Q55" s="33" t="s">
        <v>209</v>
      </c>
      <c r="R55" s="33" t="s">
        <v>134</v>
      </c>
      <c r="S55" s="14">
        <v>46</v>
      </c>
      <c r="T55">
        <v>1</v>
      </c>
      <c r="U55" s="2">
        <v>1266</v>
      </c>
      <c r="V55" s="2">
        <v>2320</v>
      </c>
      <c r="W55" s="2">
        <v>1054</v>
      </c>
      <c r="X55" s="2">
        <f t="shared" si="2"/>
        <v>1266</v>
      </c>
      <c r="Y55" s="2">
        <f t="shared" si="3"/>
        <v>2320</v>
      </c>
    </row>
    <row r="56" spans="1:25" x14ac:dyDescent="0.25">
      <c r="A56" s="3" t="s">
        <v>90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s="27" t="s">
        <v>181</v>
      </c>
      <c r="J56" s="27" t="s">
        <v>141</v>
      </c>
      <c r="K56" s="29" t="s">
        <v>192</v>
      </c>
      <c r="L56" s="29" t="s">
        <v>28</v>
      </c>
      <c r="M56" s="9" t="s">
        <v>22</v>
      </c>
      <c r="N56" s="9" t="s">
        <v>23</v>
      </c>
      <c r="O56" s="31" t="s">
        <v>207</v>
      </c>
      <c r="P56" s="31" t="s">
        <v>136</v>
      </c>
      <c r="Q56" s="33" t="s">
        <v>209</v>
      </c>
      <c r="R56" s="33" t="s">
        <v>134</v>
      </c>
      <c r="S56" s="14">
        <v>42</v>
      </c>
      <c r="T56">
        <v>4</v>
      </c>
      <c r="U56" s="2">
        <v>308</v>
      </c>
      <c r="V56" s="2">
        <v>565</v>
      </c>
      <c r="W56" s="2">
        <v>1028</v>
      </c>
      <c r="X56" s="2">
        <f t="shared" si="2"/>
        <v>1232</v>
      </c>
      <c r="Y56" s="2">
        <f t="shared" si="3"/>
        <v>2260</v>
      </c>
    </row>
    <row r="57" spans="1:25" x14ac:dyDescent="0.25">
      <c r="A57" s="3" t="s">
        <v>91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s="27" t="s">
        <v>184</v>
      </c>
      <c r="J57" s="27" t="s">
        <v>142</v>
      </c>
      <c r="K57" s="29" t="s">
        <v>194</v>
      </c>
      <c r="L57" s="29" t="s">
        <v>37</v>
      </c>
      <c r="M57" s="9" t="s">
        <v>22</v>
      </c>
      <c r="N57" s="9" t="s">
        <v>23</v>
      </c>
      <c r="O57" s="31" t="s">
        <v>205</v>
      </c>
      <c r="P57" s="31" t="s">
        <v>132</v>
      </c>
      <c r="Q57" s="33" t="s">
        <v>209</v>
      </c>
      <c r="R57" s="33" t="s">
        <v>134</v>
      </c>
      <c r="S57" s="14">
        <v>46</v>
      </c>
      <c r="T57">
        <v>4</v>
      </c>
      <c r="U57" s="2">
        <v>1266</v>
      </c>
      <c r="V57" s="2">
        <v>2320</v>
      </c>
      <c r="W57" s="2">
        <v>4216</v>
      </c>
      <c r="X57" s="2">
        <f t="shared" si="2"/>
        <v>5064</v>
      </c>
      <c r="Y57" s="2">
        <f t="shared" si="3"/>
        <v>9280</v>
      </c>
    </row>
    <row r="58" spans="1:25" x14ac:dyDescent="0.25">
      <c r="A58" s="3" t="s">
        <v>92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31</v>
      </c>
      <c r="H58" t="s">
        <v>144</v>
      </c>
      <c r="I58" s="27" t="s">
        <v>183</v>
      </c>
      <c r="J58" s="27" t="s">
        <v>64</v>
      </c>
      <c r="K58" s="29" t="s">
        <v>199</v>
      </c>
      <c r="L58" s="29" t="s">
        <v>93</v>
      </c>
      <c r="M58" s="9" t="s">
        <v>22</v>
      </c>
      <c r="N58" s="9" t="s">
        <v>23</v>
      </c>
      <c r="O58" s="31" t="s">
        <v>205</v>
      </c>
      <c r="P58" s="31" t="s">
        <v>132</v>
      </c>
      <c r="Q58" s="33" t="s">
        <v>209</v>
      </c>
      <c r="R58" s="33" t="s">
        <v>134</v>
      </c>
      <c r="S58" s="14">
        <v>38</v>
      </c>
      <c r="T58">
        <v>3</v>
      </c>
      <c r="U58" s="2">
        <v>1266</v>
      </c>
      <c r="V58" s="2">
        <v>2320</v>
      </c>
      <c r="W58" s="2">
        <v>3162</v>
      </c>
      <c r="X58" s="2">
        <f t="shared" si="2"/>
        <v>3798</v>
      </c>
      <c r="Y58" s="2">
        <f t="shared" si="3"/>
        <v>6960</v>
      </c>
    </row>
    <row r="59" spans="1:25" x14ac:dyDescent="0.25">
      <c r="A59" s="3" t="s">
        <v>94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27</v>
      </c>
      <c r="H59" t="s">
        <v>144</v>
      </c>
      <c r="I59" s="27" t="s">
        <v>185</v>
      </c>
      <c r="J59" s="27" t="s">
        <v>140</v>
      </c>
      <c r="K59" s="29" t="s">
        <v>189</v>
      </c>
      <c r="L59" s="29" t="s">
        <v>24</v>
      </c>
      <c r="M59" s="9" t="s">
        <v>22</v>
      </c>
      <c r="N59" s="9" t="s">
        <v>23</v>
      </c>
      <c r="O59" s="31" t="s">
        <v>206</v>
      </c>
      <c r="P59" s="31" t="s">
        <v>135</v>
      </c>
      <c r="Q59" s="33" t="s">
        <v>209</v>
      </c>
      <c r="R59" s="33" t="s">
        <v>134</v>
      </c>
      <c r="S59" s="14">
        <v>42</v>
      </c>
      <c r="T59">
        <v>3</v>
      </c>
      <c r="U59" s="2">
        <v>420</v>
      </c>
      <c r="V59" s="2">
        <v>769</v>
      </c>
      <c r="W59" s="2">
        <v>1047</v>
      </c>
      <c r="X59" s="2">
        <f t="shared" si="2"/>
        <v>1260</v>
      </c>
      <c r="Y59" s="2">
        <f t="shared" si="3"/>
        <v>2307</v>
      </c>
    </row>
    <row r="60" spans="1:25" x14ac:dyDescent="0.25">
      <c r="A60" s="3" t="s">
        <v>95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s="27" t="s">
        <v>186</v>
      </c>
      <c r="J60" s="27" t="s">
        <v>139</v>
      </c>
      <c r="K60" s="29" t="s">
        <v>188</v>
      </c>
      <c r="L60" s="29" t="s">
        <v>21</v>
      </c>
      <c r="M60" s="9" t="s">
        <v>22</v>
      </c>
      <c r="N60" s="9" t="s">
        <v>23</v>
      </c>
      <c r="O60" s="31" t="s">
        <v>205</v>
      </c>
      <c r="P60" s="31" t="s">
        <v>132</v>
      </c>
      <c r="Q60" s="33" t="s">
        <v>208</v>
      </c>
      <c r="R60" s="33" t="s">
        <v>133</v>
      </c>
      <c r="S60" s="14">
        <v>42</v>
      </c>
      <c r="T60">
        <v>3</v>
      </c>
      <c r="U60" s="2">
        <v>1252</v>
      </c>
      <c r="V60" s="2">
        <v>2295</v>
      </c>
      <c r="W60" s="2">
        <v>3129</v>
      </c>
      <c r="X60" s="2">
        <f t="shared" si="2"/>
        <v>3756</v>
      </c>
      <c r="Y60" s="2">
        <f t="shared" si="3"/>
        <v>6885</v>
      </c>
    </row>
    <row r="61" spans="1:25" x14ac:dyDescent="0.25">
      <c r="A61" s="3" t="s">
        <v>96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27</v>
      </c>
      <c r="H61" t="s">
        <v>145</v>
      </c>
      <c r="I61" s="27" t="s">
        <v>183</v>
      </c>
      <c r="J61" s="27" t="s">
        <v>64</v>
      </c>
      <c r="K61" s="29" t="s">
        <v>197</v>
      </c>
      <c r="L61" s="29" t="s">
        <v>65</v>
      </c>
      <c r="M61" s="9" t="s">
        <v>22</v>
      </c>
      <c r="N61" s="9" t="s">
        <v>23</v>
      </c>
      <c r="O61" s="31" t="s">
        <v>205</v>
      </c>
      <c r="P61" s="31" t="s">
        <v>132</v>
      </c>
      <c r="Q61" s="33" t="s">
        <v>208</v>
      </c>
      <c r="R61" s="33" t="s">
        <v>133</v>
      </c>
      <c r="S61" s="14">
        <v>46</v>
      </c>
      <c r="T61">
        <v>1</v>
      </c>
      <c r="U61" s="2">
        <v>1252</v>
      </c>
      <c r="V61" s="2">
        <v>2295</v>
      </c>
      <c r="W61" s="2">
        <v>1043</v>
      </c>
      <c r="X61" s="2">
        <f t="shared" si="2"/>
        <v>1252</v>
      </c>
      <c r="Y61" s="2">
        <f t="shared" si="3"/>
        <v>2295</v>
      </c>
    </row>
    <row r="62" spans="1:25" x14ac:dyDescent="0.25">
      <c r="A62" s="3" t="s">
        <v>97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s="27" t="s">
        <v>186</v>
      </c>
      <c r="J62" s="27" t="s">
        <v>139</v>
      </c>
      <c r="K62" s="29" t="s">
        <v>203</v>
      </c>
      <c r="L62" s="29" t="s">
        <v>33</v>
      </c>
      <c r="M62" s="9" t="s">
        <v>22</v>
      </c>
      <c r="N62" s="9" t="s">
        <v>23</v>
      </c>
      <c r="O62" s="31" t="s">
        <v>205</v>
      </c>
      <c r="P62" s="31" t="s">
        <v>132</v>
      </c>
      <c r="Q62" s="33" t="s">
        <v>209</v>
      </c>
      <c r="R62" s="33" t="s">
        <v>134</v>
      </c>
      <c r="S62" s="14">
        <v>38</v>
      </c>
      <c r="T62">
        <v>1</v>
      </c>
      <c r="U62" s="2">
        <v>1266</v>
      </c>
      <c r="V62" s="2">
        <v>2320</v>
      </c>
      <c r="W62" s="2">
        <v>1054</v>
      </c>
      <c r="X62" s="2">
        <f t="shared" si="2"/>
        <v>1266</v>
      </c>
      <c r="Y62" s="2">
        <f t="shared" si="3"/>
        <v>2320</v>
      </c>
    </row>
    <row r="63" spans="1:25" x14ac:dyDescent="0.25">
      <c r="A63" s="3" t="s">
        <v>98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31</v>
      </c>
      <c r="H63" t="s">
        <v>145</v>
      </c>
      <c r="I63" s="27" t="s">
        <v>183</v>
      </c>
      <c r="J63" s="27" t="s">
        <v>64</v>
      </c>
      <c r="K63" s="29" t="s">
        <v>193</v>
      </c>
      <c r="L63" s="29" t="s">
        <v>99</v>
      </c>
      <c r="M63" s="9" t="s">
        <v>22</v>
      </c>
      <c r="N63" s="9" t="s">
        <v>23</v>
      </c>
      <c r="O63" s="31" t="s">
        <v>205</v>
      </c>
      <c r="P63" s="31" t="s">
        <v>132</v>
      </c>
      <c r="Q63" s="33" t="s">
        <v>209</v>
      </c>
      <c r="R63" s="33" t="s">
        <v>134</v>
      </c>
      <c r="S63" s="14">
        <v>46</v>
      </c>
      <c r="T63">
        <v>4</v>
      </c>
      <c r="U63" s="2">
        <v>1266</v>
      </c>
      <c r="V63" s="2">
        <v>2320</v>
      </c>
      <c r="W63" s="2">
        <v>4216</v>
      </c>
      <c r="X63" s="2">
        <f t="shared" si="2"/>
        <v>5064</v>
      </c>
      <c r="Y63" s="2">
        <f t="shared" si="3"/>
        <v>9280</v>
      </c>
    </row>
    <row r="64" spans="1:25" x14ac:dyDescent="0.25">
      <c r="A64" s="3" t="s">
        <v>100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31</v>
      </c>
      <c r="H64" t="s">
        <v>144</v>
      </c>
      <c r="I64" s="27" t="s">
        <v>181</v>
      </c>
      <c r="J64" s="27" t="s">
        <v>141</v>
      </c>
      <c r="K64" s="29" t="s">
        <v>202</v>
      </c>
      <c r="L64" s="29" t="s">
        <v>54</v>
      </c>
      <c r="M64" s="9" t="s">
        <v>22</v>
      </c>
      <c r="N64" s="9" t="s">
        <v>23</v>
      </c>
      <c r="O64" s="31" t="s">
        <v>207</v>
      </c>
      <c r="P64" s="31" t="s">
        <v>136</v>
      </c>
      <c r="Q64" s="33" t="s">
        <v>208</v>
      </c>
      <c r="R64" s="33" t="s">
        <v>133</v>
      </c>
      <c r="S64" s="14">
        <v>44</v>
      </c>
      <c r="T64">
        <v>4</v>
      </c>
      <c r="U64" s="2">
        <v>295</v>
      </c>
      <c r="V64" s="2">
        <v>540</v>
      </c>
      <c r="W64" s="2">
        <v>980</v>
      </c>
      <c r="X64" s="2">
        <f t="shared" si="2"/>
        <v>1180</v>
      </c>
      <c r="Y64" s="2">
        <f t="shared" si="3"/>
        <v>2160</v>
      </c>
    </row>
    <row r="65" spans="1:25" x14ac:dyDescent="0.25">
      <c r="A65" s="3" t="s">
        <v>101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27</v>
      </c>
      <c r="H65" t="s">
        <v>145</v>
      </c>
      <c r="I65" s="27" t="s">
        <v>183</v>
      </c>
      <c r="J65" s="27" t="s">
        <v>64</v>
      </c>
      <c r="K65" s="29" t="s">
        <v>197</v>
      </c>
      <c r="L65" s="29" t="s">
        <v>65</v>
      </c>
      <c r="M65" s="9" t="s">
        <v>22</v>
      </c>
      <c r="N65" s="9" t="s">
        <v>23</v>
      </c>
      <c r="O65" s="31" t="s">
        <v>205</v>
      </c>
      <c r="P65" s="31" t="s">
        <v>132</v>
      </c>
      <c r="Q65" s="33" t="s">
        <v>208</v>
      </c>
      <c r="R65" s="33" t="s">
        <v>133</v>
      </c>
      <c r="S65" s="14">
        <v>38</v>
      </c>
      <c r="T65">
        <v>4</v>
      </c>
      <c r="U65" s="2">
        <v>1252</v>
      </c>
      <c r="V65" s="2">
        <v>2295</v>
      </c>
      <c r="W65" s="2">
        <v>4172</v>
      </c>
      <c r="X65" s="2">
        <f t="shared" si="2"/>
        <v>5008</v>
      </c>
      <c r="Y65" s="2">
        <f t="shared" si="3"/>
        <v>9180</v>
      </c>
    </row>
    <row r="66" spans="1:25" x14ac:dyDescent="0.25">
      <c r="A66" s="3" t="s">
        <v>102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s="27" t="s">
        <v>186</v>
      </c>
      <c r="J66" s="27" t="s">
        <v>139</v>
      </c>
      <c r="K66" s="29" t="s">
        <v>195</v>
      </c>
      <c r="L66" s="29" t="s">
        <v>51</v>
      </c>
      <c r="M66" s="9" t="s">
        <v>22</v>
      </c>
      <c r="N66" s="9" t="s">
        <v>23</v>
      </c>
      <c r="O66" s="31" t="s">
        <v>204</v>
      </c>
      <c r="P66" s="31" t="s">
        <v>137</v>
      </c>
      <c r="Q66" s="33" t="s">
        <v>208</v>
      </c>
      <c r="R66" s="33" t="s">
        <v>133</v>
      </c>
      <c r="S66" s="14">
        <v>48</v>
      </c>
      <c r="T66">
        <v>4</v>
      </c>
      <c r="U66" s="2">
        <v>1898</v>
      </c>
      <c r="V66" s="2">
        <v>3375</v>
      </c>
      <c r="W66" s="2">
        <v>5908</v>
      </c>
      <c r="X66" s="2">
        <f t="shared" ref="X66:X89" si="4">T66*U66</f>
        <v>7592</v>
      </c>
      <c r="Y66" s="2">
        <f t="shared" ref="Y66:Y89" si="5">T66*V66</f>
        <v>13500</v>
      </c>
    </row>
    <row r="67" spans="1:25" x14ac:dyDescent="0.25">
      <c r="A67" s="3" t="s">
        <v>103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s="27" t="s">
        <v>186</v>
      </c>
      <c r="J67" s="27" t="s">
        <v>139</v>
      </c>
      <c r="K67" s="29" t="s">
        <v>195</v>
      </c>
      <c r="L67" s="29" t="s">
        <v>51</v>
      </c>
      <c r="M67" s="9" t="s">
        <v>22</v>
      </c>
      <c r="N67" s="9" t="s">
        <v>23</v>
      </c>
      <c r="O67" s="31" t="s">
        <v>205</v>
      </c>
      <c r="P67" s="31" t="s">
        <v>132</v>
      </c>
      <c r="Q67" s="33" t="s">
        <v>208</v>
      </c>
      <c r="R67" s="33" t="s">
        <v>133</v>
      </c>
      <c r="S67" s="14">
        <v>38</v>
      </c>
      <c r="T67">
        <v>4</v>
      </c>
      <c r="U67" s="2">
        <v>1252</v>
      </c>
      <c r="V67" s="2">
        <v>2295</v>
      </c>
      <c r="W67" s="2">
        <v>4172</v>
      </c>
      <c r="X67" s="2">
        <f t="shared" si="4"/>
        <v>5008</v>
      </c>
      <c r="Y67" s="2">
        <f t="shared" si="5"/>
        <v>9180</v>
      </c>
    </row>
    <row r="68" spans="1:25" x14ac:dyDescent="0.25">
      <c r="A68" s="3" t="s">
        <v>104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s="27" t="s">
        <v>186</v>
      </c>
      <c r="J68" s="27" t="s">
        <v>139</v>
      </c>
      <c r="K68" s="29" t="s">
        <v>188</v>
      </c>
      <c r="L68" s="29" t="s">
        <v>21</v>
      </c>
      <c r="M68" s="9" t="s">
        <v>22</v>
      </c>
      <c r="N68" s="9" t="s">
        <v>23</v>
      </c>
      <c r="O68" s="31" t="s">
        <v>205</v>
      </c>
      <c r="P68" s="31" t="s">
        <v>132</v>
      </c>
      <c r="Q68" s="33" t="s">
        <v>208</v>
      </c>
      <c r="R68" s="33" t="s">
        <v>133</v>
      </c>
      <c r="S68" s="14">
        <v>46</v>
      </c>
      <c r="T68">
        <v>4</v>
      </c>
      <c r="U68" s="2">
        <v>1252</v>
      </c>
      <c r="V68" s="2">
        <v>2295</v>
      </c>
      <c r="W68" s="2">
        <v>4172</v>
      </c>
      <c r="X68" s="2">
        <f t="shared" si="4"/>
        <v>5008</v>
      </c>
      <c r="Y68" s="2">
        <f t="shared" si="5"/>
        <v>9180</v>
      </c>
    </row>
    <row r="69" spans="1:25" x14ac:dyDescent="0.25">
      <c r="A69" s="3" t="s">
        <v>105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s="27" t="s">
        <v>181</v>
      </c>
      <c r="J69" s="27" t="s">
        <v>141</v>
      </c>
      <c r="K69" s="29" t="s">
        <v>196</v>
      </c>
      <c r="L69" s="29" t="s">
        <v>39</v>
      </c>
      <c r="M69" s="9" t="s">
        <v>22</v>
      </c>
      <c r="N69" s="9" t="s">
        <v>23</v>
      </c>
      <c r="O69" s="31" t="s">
        <v>205</v>
      </c>
      <c r="P69" s="31" t="s">
        <v>132</v>
      </c>
      <c r="Q69" s="33" t="s">
        <v>208</v>
      </c>
      <c r="R69" s="33" t="s">
        <v>133</v>
      </c>
      <c r="S69" s="14">
        <v>46</v>
      </c>
      <c r="T69">
        <v>4</v>
      </c>
      <c r="U69" s="2">
        <v>1252</v>
      </c>
      <c r="V69" s="2">
        <v>2295</v>
      </c>
      <c r="W69" s="2">
        <v>4172</v>
      </c>
      <c r="X69" s="2">
        <f t="shared" si="4"/>
        <v>5008</v>
      </c>
      <c r="Y69" s="2">
        <f t="shared" si="5"/>
        <v>9180</v>
      </c>
    </row>
    <row r="70" spans="1:25" x14ac:dyDescent="0.25">
      <c r="A70" s="3" t="s">
        <v>106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31</v>
      </c>
      <c r="H70" t="s">
        <v>145</v>
      </c>
      <c r="I70" s="27" t="s">
        <v>181</v>
      </c>
      <c r="J70" s="27" t="s">
        <v>141</v>
      </c>
      <c r="K70" s="29" t="s">
        <v>201</v>
      </c>
      <c r="L70" s="29" t="s">
        <v>107</v>
      </c>
      <c r="M70" s="9" t="s">
        <v>22</v>
      </c>
      <c r="N70" s="9" t="s">
        <v>23</v>
      </c>
      <c r="O70" s="31" t="s">
        <v>207</v>
      </c>
      <c r="P70" s="31" t="s">
        <v>136</v>
      </c>
      <c r="Q70" s="33" t="s">
        <v>208</v>
      </c>
      <c r="R70" s="33" t="s">
        <v>133</v>
      </c>
      <c r="S70" s="14">
        <v>40</v>
      </c>
      <c r="T70">
        <v>2</v>
      </c>
      <c r="U70" s="2">
        <v>295</v>
      </c>
      <c r="V70" s="2">
        <v>540</v>
      </c>
      <c r="W70" s="2">
        <v>490</v>
      </c>
      <c r="X70" s="2">
        <f t="shared" si="4"/>
        <v>590</v>
      </c>
      <c r="Y70" s="2">
        <f t="shared" si="5"/>
        <v>1080</v>
      </c>
    </row>
    <row r="71" spans="1:25" x14ac:dyDescent="0.25">
      <c r="A71" s="3" t="s">
        <v>108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s="27" t="s">
        <v>184</v>
      </c>
      <c r="J71" s="27" t="s">
        <v>142</v>
      </c>
      <c r="K71" s="29" t="s">
        <v>191</v>
      </c>
      <c r="L71" s="29" t="s">
        <v>109</v>
      </c>
      <c r="M71" s="9" t="s">
        <v>22</v>
      </c>
      <c r="N71" s="9" t="s">
        <v>23</v>
      </c>
      <c r="O71" s="31" t="s">
        <v>205</v>
      </c>
      <c r="P71" s="31" t="s">
        <v>132</v>
      </c>
      <c r="Q71" s="33" t="s">
        <v>208</v>
      </c>
      <c r="R71" s="33" t="s">
        <v>133</v>
      </c>
      <c r="S71" s="14">
        <v>46</v>
      </c>
      <c r="T71">
        <v>2</v>
      </c>
      <c r="U71" s="2">
        <v>1252</v>
      </c>
      <c r="V71" s="2">
        <v>2295</v>
      </c>
      <c r="W71" s="2">
        <v>2086</v>
      </c>
      <c r="X71" s="2">
        <f t="shared" si="4"/>
        <v>2504</v>
      </c>
      <c r="Y71" s="2">
        <f t="shared" si="5"/>
        <v>4590</v>
      </c>
    </row>
    <row r="72" spans="1:25" x14ac:dyDescent="0.25">
      <c r="A72" s="3" t="s">
        <v>110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s="27" t="s">
        <v>186</v>
      </c>
      <c r="J72" s="27" t="s">
        <v>139</v>
      </c>
      <c r="K72" s="29" t="s">
        <v>203</v>
      </c>
      <c r="L72" s="29" t="s">
        <v>33</v>
      </c>
      <c r="M72" s="9" t="s">
        <v>22</v>
      </c>
      <c r="N72" s="9" t="s">
        <v>23</v>
      </c>
      <c r="O72" s="31" t="s">
        <v>205</v>
      </c>
      <c r="P72" s="31" t="s">
        <v>132</v>
      </c>
      <c r="Q72" s="33" t="s">
        <v>209</v>
      </c>
      <c r="R72" s="33" t="s">
        <v>134</v>
      </c>
      <c r="S72" s="14">
        <v>38</v>
      </c>
      <c r="T72">
        <v>1</v>
      </c>
      <c r="U72" s="2">
        <v>1266</v>
      </c>
      <c r="V72" s="2">
        <v>2320</v>
      </c>
      <c r="W72" s="2">
        <v>1054</v>
      </c>
      <c r="X72" s="2">
        <f t="shared" si="4"/>
        <v>1266</v>
      </c>
      <c r="Y72" s="2">
        <f t="shared" si="5"/>
        <v>2320</v>
      </c>
    </row>
    <row r="73" spans="1:25" x14ac:dyDescent="0.25">
      <c r="A73" s="3" t="s">
        <v>111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27</v>
      </c>
      <c r="H73" t="s">
        <v>144</v>
      </c>
      <c r="I73" s="27" t="s">
        <v>181</v>
      </c>
      <c r="J73" s="27" t="s">
        <v>141</v>
      </c>
      <c r="K73" s="29" t="s">
        <v>202</v>
      </c>
      <c r="L73" s="29" t="s">
        <v>54</v>
      </c>
      <c r="M73" s="9" t="s">
        <v>22</v>
      </c>
      <c r="N73" s="9" t="s">
        <v>23</v>
      </c>
      <c r="O73" s="31" t="s">
        <v>204</v>
      </c>
      <c r="P73" s="31" t="s">
        <v>137</v>
      </c>
      <c r="Q73" s="33" t="s">
        <v>208</v>
      </c>
      <c r="R73" s="33" t="s">
        <v>133</v>
      </c>
      <c r="S73" s="14">
        <v>38</v>
      </c>
      <c r="T73">
        <v>4</v>
      </c>
      <c r="U73" s="2">
        <v>1898</v>
      </c>
      <c r="V73" s="2">
        <v>3375</v>
      </c>
      <c r="W73" s="2">
        <v>5908</v>
      </c>
      <c r="X73" s="2">
        <f t="shared" si="4"/>
        <v>7592</v>
      </c>
      <c r="Y73" s="2">
        <f t="shared" si="5"/>
        <v>13500</v>
      </c>
    </row>
    <row r="74" spans="1:25" x14ac:dyDescent="0.25">
      <c r="A74" s="3" t="s">
        <v>112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s="27" t="s">
        <v>181</v>
      </c>
      <c r="J74" s="27" t="s">
        <v>141</v>
      </c>
      <c r="K74" s="29" t="s">
        <v>196</v>
      </c>
      <c r="L74" s="29" t="s">
        <v>39</v>
      </c>
      <c r="M74" s="9" t="s">
        <v>22</v>
      </c>
      <c r="N74" s="9" t="s">
        <v>23</v>
      </c>
      <c r="O74" s="31" t="s">
        <v>205</v>
      </c>
      <c r="P74" s="31" t="s">
        <v>132</v>
      </c>
      <c r="Q74" s="33" t="s">
        <v>208</v>
      </c>
      <c r="R74" s="33" t="s">
        <v>133</v>
      </c>
      <c r="S74" s="14">
        <v>46</v>
      </c>
      <c r="T74">
        <v>4</v>
      </c>
      <c r="U74" s="2">
        <v>1252</v>
      </c>
      <c r="V74" s="2">
        <v>2295</v>
      </c>
      <c r="W74" s="2">
        <v>4172</v>
      </c>
      <c r="X74" s="2">
        <f t="shared" si="4"/>
        <v>5008</v>
      </c>
      <c r="Y74" s="2">
        <f t="shared" si="5"/>
        <v>9180</v>
      </c>
    </row>
    <row r="75" spans="1:25" x14ac:dyDescent="0.25">
      <c r="A75" s="3" t="s">
        <v>113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27</v>
      </c>
      <c r="H75" t="s">
        <v>145</v>
      </c>
      <c r="I75" s="27" t="s">
        <v>182</v>
      </c>
      <c r="J75" s="27" t="s">
        <v>143</v>
      </c>
      <c r="K75" s="29" t="s">
        <v>187</v>
      </c>
      <c r="L75" s="29" t="s">
        <v>43</v>
      </c>
      <c r="M75" s="9" t="s">
        <v>22</v>
      </c>
      <c r="N75" s="9" t="s">
        <v>23</v>
      </c>
      <c r="O75" s="31" t="s">
        <v>207</v>
      </c>
      <c r="P75" s="31" t="s">
        <v>136</v>
      </c>
      <c r="Q75" s="33" t="s">
        <v>208</v>
      </c>
      <c r="R75" s="33" t="s">
        <v>133</v>
      </c>
      <c r="S75" s="14">
        <v>52</v>
      </c>
      <c r="T75">
        <v>3</v>
      </c>
      <c r="U75" s="2">
        <v>295</v>
      </c>
      <c r="V75" s="2">
        <v>540</v>
      </c>
      <c r="W75" s="2">
        <v>735</v>
      </c>
      <c r="X75" s="2">
        <f t="shared" si="4"/>
        <v>885</v>
      </c>
      <c r="Y75" s="2">
        <f t="shared" si="5"/>
        <v>1620</v>
      </c>
    </row>
    <row r="76" spans="1:25" x14ac:dyDescent="0.25">
      <c r="A76" s="3" t="s">
        <v>114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s="27" t="s">
        <v>181</v>
      </c>
      <c r="J76" s="27" t="s">
        <v>141</v>
      </c>
      <c r="K76" s="29" t="s">
        <v>196</v>
      </c>
      <c r="L76" s="29" t="s">
        <v>39</v>
      </c>
      <c r="M76" s="9" t="s">
        <v>22</v>
      </c>
      <c r="N76" s="9" t="s">
        <v>23</v>
      </c>
      <c r="O76" s="31" t="s">
        <v>205</v>
      </c>
      <c r="P76" s="31" t="s">
        <v>132</v>
      </c>
      <c r="Q76" s="33" t="s">
        <v>209</v>
      </c>
      <c r="R76" s="33" t="s">
        <v>134</v>
      </c>
      <c r="S76" s="14">
        <v>38</v>
      </c>
      <c r="T76">
        <v>1</v>
      </c>
      <c r="U76" s="2">
        <v>1266</v>
      </c>
      <c r="V76" s="2">
        <v>2320</v>
      </c>
      <c r="W76" s="2">
        <v>1054</v>
      </c>
      <c r="X76" s="2">
        <f t="shared" si="4"/>
        <v>1266</v>
      </c>
      <c r="Y76" s="2">
        <f t="shared" si="5"/>
        <v>2320</v>
      </c>
    </row>
    <row r="77" spans="1:25" x14ac:dyDescent="0.25">
      <c r="A77" s="3" t="s">
        <v>115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s="27" t="s">
        <v>181</v>
      </c>
      <c r="J77" s="27" t="s">
        <v>141</v>
      </c>
      <c r="K77" s="29" t="s">
        <v>202</v>
      </c>
      <c r="L77" s="29" t="s">
        <v>54</v>
      </c>
      <c r="M77" s="9" t="s">
        <v>22</v>
      </c>
      <c r="N77" s="9" t="s">
        <v>23</v>
      </c>
      <c r="O77" s="31" t="s">
        <v>205</v>
      </c>
      <c r="P77" s="31" t="s">
        <v>132</v>
      </c>
      <c r="Q77" s="33" t="s">
        <v>209</v>
      </c>
      <c r="R77" s="33" t="s">
        <v>134</v>
      </c>
      <c r="S77" s="14">
        <v>38</v>
      </c>
      <c r="T77">
        <v>1</v>
      </c>
      <c r="U77" s="2">
        <v>1266</v>
      </c>
      <c r="V77" s="2">
        <v>2320</v>
      </c>
      <c r="W77" s="2">
        <v>1054</v>
      </c>
      <c r="X77" s="2">
        <f t="shared" si="4"/>
        <v>1266</v>
      </c>
      <c r="Y77" s="2">
        <f t="shared" si="5"/>
        <v>2320</v>
      </c>
    </row>
    <row r="78" spans="1:25" x14ac:dyDescent="0.25">
      <c r="A78" s="3" t="s">
        <v>116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27</v>
      </c>
      <c r="H78" t="s">
        <v>145</v>
      </c>
      <c r="I78" s="27" t="s">
        <v>183</v>
      </c>
      <c r="J78" s="27" t="s">
        <v>64</v>
      </c>
      <c r="K78" s="29" t="s">
        <v>200</v>
      </c>
      <c r="L78" s="29" t="s">
        <v>117</v>
      </c>
      <c r="M78" s="9" t="s">
        <v>22</v>
      </c>
      <c r="N78" s="9" t="s">
        <v>23</v>
      </c>
      <c r="O78" s="31" t="s">
        <v>205</v>
      </c>
      <c r="P78" s="31" t="s">
        <v>132</v>
      </c>
      <c r="Q78" s="33" t="s">
        <v>209</v>
      </c>
      <c r="R78" s="33" t="s">
        <v>134</v>
      </c>
      <c r="S78" s="14">
        <v>38</v>
      </c>
      <c r="T78">
        <v>3</v>
      </c>
      <c r="U78" s="2">
        <v>1266</v>
      </c>
      <c r="V78" s="2">
        <v>2320</v>
      </c>
      <c r="W78" s="2">
        <v>3162</v>
      </c>
      <c r="X78" s="2">
        <f t="shared" si="4"/>
        <v>3798</v>
      </c>
      <c r="Y78" s="2">
        <f t="shared" si="5"/>
        <v>6960</v>
      </c>
    </row>
    <row r="79" spans="1:25" x14ac:dyDescent="0.25">
      <c r="A79" s="3" t="s">
        <v>118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31</v>
      </c>
      <c r="H79" t="s">
        <v>145</v>
      </c>
      <c r="I79" s="27" t="s">
        <v>185</v>
      </c>
      <c r="J79" s="27" t="s">
        <v>140</v>
      </c>
      <c r="K79" s="29" t="s">
        <v>189</v>
      </c>
      <c r="L79" s="29" t="s">
        <v>24</v>
      </c>
      <c r="M79" s="9" t="s">
        <v>22</v>
      </c>
      <c r="N79" s="9" t="s">
        <v>23</v>
      </c>
      <c r="O79" s="31" t="s">
        <v>206</v>
      </c>
      <c r="P79" s="31" t="s">
        <v>135</v>
      </c>
      <c r="Q79" s="33" t="s">
        <v>209</v>
      </c>
      <c r="R79" s="33" t="s">
        <v>134</v>
      </c>
      <c r="S79" s="14">
        <v>46</v>
      </c>
      <c r="T79">
        <v>2</v>
      </c>
      <c r="U79" s="2">
        <v>420</v>
      </c>
      <c r="V79" s="2">
        <v>769</v>
      </c>
      <c r="W79" s="2">
        <v>698</v>
      </c>
      <c r="X79" s="2">
        <f t="shared" si="4"/>
        <v>840</v>
      </c>
      <c r="Y79" s="2">
        <f t="shared" si="5"/>
        <v>1538</v>
      </c>
    </row>
    <row r="80" spans="1:25" x14ac:dyDescent="0.25">
      <c r="A80" s="3" t="s">
        <v>119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27</v>
      </c>
      <c r="H80" t="s">
        <v>144</v>
      </c>
      <c r="I80" s="27" t="s">
        <v>186</v>
      </c>
      <c r="J80" s="27" t="s">
        <v>139</v>
      </c>
      <c r="K80" s="29" t="s">
        <v>203</v>
      </c>
      <c r="L80" s="29" t="s">
        <v>33</v>
      </c>
      <c r="M80" s="9" t="s">
        <v>22</v>
      </c>
      <c r="N80" s="9" t="s">
        <v>23</v>
      </c>
      <c r="O80" s="31" t="s">
        <v>205</v>
      </c>
      <c r="P80" s="31" t="s">
        <v>132</v>
      </c>
      <c r="Q80" s="33" t="s">
        <v>209</v>
      </c>
      <c r="R80" s="33" t="s">
        <v>134</v>
      </c>
      <c r="S80" s="14">
        <v>38</v>
      </c>
      <c r="T80">
        <v>3</v>
      </c>
      <c r="U80" s="2">
        <v>1266</v>
      </c>
      <c r="V80" s="2">
        <v>2320</v>
      </c>
      <c r="W80" s="2">
        <v>3162</v>
      </c>
      <c r="X80" s="2">
        <f t="shared" si="4"/>
        <v>3798</v>
      </c>
      <c r="Y80" s="2">
        <f t="shared" si="5"/>
        <v>6960</v>
      </c>
    </row>
    <row r="81" spans="1:25" x14ac:dyDescent="0.25">
      <c r="A81" s="3" t="s">
        <v>120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s="27" t="s">
        <v>186</v>
      </c>
      <c r="J81" s="27" t="s">
        <v>139</v>
      </c>
      <c r="K81" s="29" t="s">
        <v>188</v>
      </c>
      <c r="L81" s="29" t="s">
        <v>21</v>
      </c>
      <c r="M81" s="9" t="s">
        <v>22</v>
      </c>
      <c r="N81" s="9" t="s">
        <v>23</v>
      </c>
      <c r="O81" s="31" t="s">
        <v>205</v>
      </c>
      <c r="P81" s="31" t="s">
        <v>132</v>
      </c>
      <c r="Q81" s="33" t="s">
        <v>208</v>
      </c>
      <c r="R81" s="33" t="s">
        <v>133</v>
      </c>
      <c r="S81" s="14">
        <v>42</v>
      </c>
      <c r="T81">
        <v>3</v>
      </c>
      <c r="U81" s="2">
        <v>1252</v>
      </c>
      <c r="V81" s="2">
        <v>2295</v>
      </c>
      <c r="W81" s="2">
        <v>3129</v>
      </c>
      <c r="X81" s="2">
        <f t="shared" si="4"/>
        <v>3756</v>
      </c>
      <c r="Y81" s="2">
        <f t="shared" si="5"/>
        <v>6885</v>
      </c>
    </row>
    <row r="82" spans="1:25" x14ac:dyDescent="0.25">
      <c r="A82" s="3" t="s">
        <v>121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31</v>
      </c>
      <c r="H82" t="s">
        <v>144</v>
      </c>
      <c r="I82" s="27" t="s">
        <v>181</v>
      </c>
      <c r="J82" s="27" t="s">
        <v>141</v>
      </c>
      <c r="K82" s="29" t="s">
        <v>192</v>
      </c>
      <c r="L82" s="29" t="s">
        <v>28</v>
      </c>
      <c r="M82" s="9" t="s">
        <v>22</v>
      </c>
      <c r="N82" s="9" t="s">
        <v>23</v>
      </c>
      <c r="O82" s="31" t="s">
        <v>207</v>
      </c>
      <c r="P82" s="31" t="s">
        <v>136</v>
      </c>
      <c r="Q82" s="33" t="s">
        <v>209</v>
      </c>
      <c r="R82" s="33" t="s">
        <v>134</v>
      </c>
      <c r="S82" s="14">
        <v>42</v>
      </c>
      <c r="T82">
        <v>1</v>
      </c>
      <c r="U82" s="2">
        <v>308</v>
      </c>
      <c r="V82" s="2">
        <v>565</v>
      </c>
      <c r="W82" s="2">
        <v>257</v>
      </c>
      <c r="X82" s="2">
        <f t="shared" si="4"/>
        <v>308</v>
      </c>
      <c r="Y82" s="2">
        <f t="shared" si="5"/>
        <v>565</v>
      </c>
    </row>
    <row r="83" spans="1:25" x14ac:dyDescent="0.25">
      <c r="A83" s="3" t="s">
        <v>122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27</v>
      </c>
      <c r="H83" t="s">
        <v>145</v>
      </c>
      <c r="I83" s="27" t="s">
        <v>183</v>
      </c>
      <c r="J83" s="27" t="s">
        <v>64</v>
      </c>
      <c r="K83" s="29" t="s">
        <v>197</v>
      </c>
      <c r="L83" s="29" t="s">
        <v>65</v>
      </c>
      <c r="M83" s="9" t="s">
        <v>22</v>
      </c>
      <c r="N83" s="9" t="s">
        <v>23</v>
      </c>
      <c r="O83" s="31" t="s">
        <v>205</v>
      </c>
      <c r="P83" s="31" t="s">
        <v>132</v>
      </c>
      <c r="Q83" s="33" t="s">
        <v>208</v>
      </c>
      <c r="R83" s="33" t="s">
        <v>133</v>
      </c>
      <c r="S83" s="14">
        <v>38</v>
      </c>
      <c r="T83">
        <v>1</v>
      </c>
      <c r="U83" s="2">
        <v>1252</v>
      </c>
      <c r="V83" s="2">
        <v>2295</v>
      </c>
      <c r="W83" s="2">
        <v>1043</v>
      </c>
      <c r="X83" s="2">
        <f t="shared" si="4"/>
        <v>1252</v>
      </c>
      <c r="Y83" s="2">
        <f t="shared" si="5"/>
        <v>2295</v>
      </c>
    </row>
    <row r="84" spans="1:25" x14ac:dyDescent="0.25">
      <c r="A84" s="3" t="s">
        <v>123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27</v>
      </c>
      <c r="H84" t="s">
        <v>144</v>
      </c>
      <c r="I84" s="27" t="s">
        <v>182</v>
      </c>
      <c r="J84" s="27" t="s">
        <v>143</v>
      </c>
      <c r="K84" s="29" t="s">
        <v>187</v>
      </c>
      <c r="L84" s="29" t="s">
        <v>43</v>
      </c>
      <c r="M84" s="9" t="s">
        <v>22</v>
      </c>
      <c r="N84" s="9" t="s">
        <v>23</v>
      </c>
      <c r="O84" s="31" t="s">
        <v>205</v>
      </c>
      <c r="P84" s="31" t="s">
        <v>132</v>
      </c>
      <c r="Q84" s="33" t="s">
        <v>208</v>
      </c>
      <c r="R84" s="33" t="s">
        <v>133</v>
      </c>
      <c r="S84" s="14">
        <v>46</v>
      </c>
      <c r="T84">
        <v>1</v>
      </c>
      <c r="U84" s="2">
        <v>1252</v>
      </c>
      <c r="V84" s="2">
        <v>2295</v>
      </c>
      <c r="W84" s="2">
        <v>1043</v>
      </c>
      <c r="X84" s="2">
        <f t="shared" si="4"/>
        <v>1252</v>
      </c>
      <c r="Y84" s="2">
        <f t="shared" si="5"/>
        <v>2295</v>
      </c>
    </row>
    <row r="85" spans="1:25" x14ac:dyDescent="0.25">
      <c r="A85" s="3" t="s">
        <v>124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s="27" t="s">
        <v>184</v>
      </c>
      <c r="J85" s="27" t="s">
        <v>142</v>
      </c>
      <c r="K85" s="29" t="s">
        <v>191</v>
      </c>
      <c r="L85" s="29" t="s">
        <v>109</v>
      </c>
      <c r="M85" s="9" t="s">
        <v>22</v>
      </c>
      <c r="N85" s="9" t="s">
        <v>23</v>
      </c>
      <c r="O85" s="31" t="s">
        <v>205</v>
      </c>
      <c r="P85" s="31" t="s">
        <v>132</v>
      </c>
      <c r="Q85" s="33" t="s">
        <v>209</v>
      </c>
      <c r="R85" s="33" t="s">
        <v>134</v>
      </c>
      <c r="S85" s="14">
        <v>38</v>
      </c>
      <c r="T85">
        <v>1</v>
      </c>
      <c r="U85" s="2">
        <v>1266</v>
      </c>
      <c r="V85" s="2">
        <v>2320</v>
      </c>
      <c r="W85" s="2">
        <v>1054</v>
      </c>
      <c r="X85" s="2">
        <f t="shared" si="4"/>
        <v>1266</v>
      </c>
      <c r="Y85" s="2">
        <f t="shared" si="5"/>
        <v>2320</v>
      </c>
    </row>
    <row r="86" spans="1:25" x14ac:dyDescent="0.25">
      <c r="A86" s="3" t="s">
        <v>125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27</v>
      </c>
      <c r="H86" t="s">
        <v>144</v>
      </c>
      <c r="I86" s="27" t="s">
        <v>186</v>
      </c>
      <c r="J86" s="27" t="s">
        <v>139</v>
      </c>
      <c r="K86" s="29" t="s">
        <v>195</v>
      </c>
      <c r="L86" s="29" t="s">
        <v>51</v>
      </c>
      <c r="M86" s="9" t="s">
        <v>22</v>
      </c>
      <c r="N86" s="9" t="s">
        <v>23</v>
      </c>
      <c r="O86" s="31" t="s">
        <v>205</v>
      </c>
      <c r="P86" s="31" t="s">
        <v>132</v>
      </c>
      <c r="Q86" s="33" t="s">
        <v>209</v>
      </c>
      <c r="R86" s="33" t="s">
        <v>134</v>
      </c>
      <c r="S86" s="14">
        <v>42</v>
      </c>
      <c r="T86">
        <v>1</v>
      </c>
      <c r="U86" s="2">
        <v>1266</v>
      </c>
      <c r="V86" s="2">
        <v>2320</v>
      </c>
      <c r="W86" s="2">
        <v>1054</v>
      </c>
      <c r="X86" s="2">
        <f t="shared" si="4"/>
        <v>1266</v>
      </c>
      <c r="Y86" s="2">
        <f t="shared" si="5"/>
        <v>2320</v>
      </c>
    </row>
    <row r="87" spans="1:25" x14ac:dyDescent="0.25">
      <c r="A87" s="3" t="s">
        <v>126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27</v>
      </c>
      <c r="H87" t="s">
        <v>144</v>
      </c>
      <c r="I87" s="27" t="s">
        <v>182</v>
      </c>
      <c r="J87" s="27" t="s">
        <v>143</v>
      </c>
      <c r="K87" s="29" t="s">
        <v>187</v>
      </c>
      <c r="L87" s="29" t="s">
        <v>43</v>
      </c>
      <c r="M87" s="9" t="s">
        <v>22</v>
      </c>
      <c r="N87" s="9" t="s">
        <v>23</v>
      </c>
      <c r="O87" s="31" t="s">
        <v>205</v>
      </c>
      <c r="P87" s="31" t="s">
        <v>132</v>
      </c>
      <c r="Q87" s="33" t="s">
        <v>208</v>
      </c>
      <c r="R87" s="33" t="s">
        <v>133</v>
      </c>
      <c r="S87" s="14">
        <v>42</v>
      </c>
      <c r="T87">
        <v>1</v>
      </c>
      <c r="U87" s="2">
        <v>1252</v>
      </c>
      <c r="V87" s="2">
        <v>2295</v>
      </c>
      <c r="W87" s="2">
        <v>1043</v>
      </c>
      <c r="X87" s="2">
        <f t="shared" si="4"/>
        <v>1252</v>
      </c>
      <c r="Y87" s="2">
        <f t="shared" si="5"/>
        <v>2295</v>
      </c>
    </row>
    <row r="88" spans="1:25" x14ac:dyDescent="0.25">
      <c r="A88" s="3" t="s">
        <v>127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s="27" t="s">
        <v>186</v>
      </c>
      <c r="J88" s="27" t="s">
        <v>139</v>
      </c>
      <c r="K88" s="29" t="s">
        <v>188</v>
      </c>
      <c r="L88" s="29" t="s">
        <v>21</v>
      </c>
      <c r="M88" s="9" t="s">
        <v>22</v>
      </c>
      <c r="N88" s="9" t="s">
        <v>23</v>
      </c>
      <c r="O88" s="31" t="s">
        <v>207</v>
      </c>
      <c r="P88" s="31" t="s">
        <v>136</v>
      </c>
      <c r="Q88" s="33" t="s">
        <v>208</v>
      </c>
      <c r="R88" s="33" t="s">
        <v>133</v>
      </c>
      <c r="S88" s="14">
        <v>42</v>
      </c>
      <c r="T88">
        <v>1</v>
      </c>
      <c r="U88" s="2">
        <v>295</v>
      </c>
      <c r="V88" s="2">
        <v>540</v>
      </c>
      <c r="W88" s="2">
        <v>245</v>
      </c>
      <c r="X88" s="2">
        <f t="shared" si="4"/>
        <v>295</v>
      </c>
      <c r="Y88" s="2">
        <f t="shared" si="5"/>
        <v>540</v>
      </c>
    </row>
    <row r="89" spans="1:25" x14ac:dyDescent="0.25">
      <c r="A89" s="3" t="s">
        <v>128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s="27" t="s">
        <v>181</v>
      </c>
      <c r="J89" s="27" t="s">
        <v>141</v>
      </c>
      <c r="K89" s="29" t="s">
        <v>196</v>
      </c>
      <c r="L89" s="29" t="s">
        <v>39</v>
      </c>
      <c r="M89" s="9" t="s">
        <v>22</v>
      </c>
      <c r="N89" s="9" t="s">
        <v>23</v>
      </c>
      <c r="O89" s="31" t="s">
        <v>205</v>
      </c>
      <c r="P89" s="31" t="s">
        <v>132</v>
      </c>
      <c r="Q89" s="33" t="s">
        <v>208</v>
      </c>
      <c r="R89" s="33" t="s">
        <v>133</v>
      </c>
      <c r="S89" s="14">
        <v>42</v>
      </c>
      <c r="T89">
        <v>4</v>
      </c>
      <c r="U89" s="2">
        <v>1252</v>
      </c>
      <c r="V89" s="2">
        <v>2295</v>
      </c>
      <c r="W89" s="2">
        <v>4172</v>
      </c>
      <c r="X89" s="2">
        <f t="shared" si="4"/>
        <v>5008</v>
      </c>
      <c r="Y89" s="2">
        <f t="shared" si="5"/>
        <v>9180</v>
      </c>
    </row>
    <row r="90" spans="1:25" x14ac:dyDescent="0.25">
      <c r="M90"/>
      <c r="N90"/>
      <c r="S90" s="15"/>
    </row>
  </sheetData>
  <dataConsolidate/>
  <phoneticPr fontId="18" type="noConversion"/>
  <conditionalFormatting sqref="A1:A89 A91:A1048576">
    <cfRule type="duplicateValues" dxfId="4" priority="5"/>
  </conditionalFormatting>
  <conditionalFormatting sqref="A1:A1048576">
    <cfRule type="containsText" dxfId="3" priority="3" operator="containsText" text="Sales_Order #">
      <formula>NOT(ISERROR(SEARCH("Sales_Order #",A1)))</formula>
    </cfRule>
    <cfRule type="containsText" dxfId="2" priority="4" operator="containsText" text="Sales_Order #">
      <formula>NOT(ISERROR(SEARCH("Sales_Order #",A1)))</formula>
    </cfRule>
  </conditionalFormatting>
  <conditionalFormatting sqref="H1:XFD1048576 A1:F1048576">
    <cfRule type="containsBlanks" dxfId="1" priority="2">
      <formula>LEN(TRIM(A1))=0</formula>
    </cfRule>
  </conditionalFormatting>
  <conditionalFormatting sqref="U1:V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D8A4F32F-2D7C-4A19-BEEF-3C6BE5480EF2}">
  <ds:schemaRefs/>
</ds:datastoreItem>
</file>

<file path=customXml/itemProps2.xml><?xml version="1.0" encoding="utf-8"?>
<ds:datastoreItem xmlns:ds="http://schemas.openxmlformats.org/officeDocument/2006/customXml" ds:itemID="{E922CB89-2F7F-4E09-8CBE-5A35AEAF4ED6}">
  <ds:schemaRefs/>
</ds:datastoreItem>
</file>

<file path=customXml/itemProps3.xml><?xml version="1.0" encoding="utf-8"?>
<ds:datastoreItem xmlns:ds="http://schemas.openxmlformats.org/officeDocument/2006/customXml" ds:itemID="{A4F9C08A-5D2C-4FD1-9E71-E32897C2273F}">
  <ds:schemaRefs/>
</ds:datastoreItem>
</file>

<file path=customXml/itemProps4.xml><?xml version="1.0" encoding="utf-8"?>
<ds:datastoreItem xmlns:ds="http://schemas.openxmlformats.org/officeDocument/2006/customXml" ds:itemID="{693BB112-C22B-4565-A41C-D7EE5245359E}">
  <ds:schemaRefs/>
</ds:datastoreItem>
</file>

<file path=customXml/itemProps5.xml><?xml version="1.0" encoding="utf-8"?>
<ds:datastoreItem xmlns:ds="http://schemas.openxmlformats.org/officeDocument/2006/customXml" ds:itemID="{D9382DBA-A27F-4C03-BB42-6538B7578A0A}">
  <ds:schemaRefs/>
</ds:datastoreItem>
</file>

<file path=customXml/itemProps6.xml><?xml version="1.0" encoding="utf-8"?>
<ds:datastoreItem xmlns:ds="http://schemas.openxmlformats.org/officeDocument/2006/customXml" ds:itemID="{C20CCE32-6A14-4476-90E6-9F35FA943DCD}">
  <ds:schemaRefs/>
</ds:datastoreItem>
</file>

<file path=customXml/itemProps7.xml><?xml version="1.0" encoding="utf-8"?>
<ds:datastoreItem xmlns:ds="http://schemas.openxmlformats.org/officeDocument/2006/customXml" ds:itemID="{9FED11A6-282A-4C4D-AFAA-F16426348E15}">
  <ds:schemaRefs/>
</ds:datastoreItem>
</file>

<file path=customXml/itemProps8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C618003A-FCAB-4161-8B1B-7811D783C54D}">
  <ds:schemaRefs/>
</ds:datastoreItem>
</file>

<file path=customXml/itemProps10.xml><?xml version="1.0" encoding="utf-8"?>
<ds:datastoreItem xmlns:ds="http://schemas.openxmlformats.org/officeDocument/2006/customXml" ds:itemID="{DBB9B52A-1F56-4677-B5BB-8BA475440AC0}">
  <ds:schemaRefs/>
</ds:datastoreItem>
</file>

<file path=customXml/itemProps11.xml><?xml version="1.0" encoding="utf-8"?>
<ds:datastoreItem xmlns:ds="http://schemas.openxmlformats.org/officeDocument/2006/customXml" ds:itemID="{B0E83AF8-2C50-4089-9716-0DC4D6C9EB5B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6cf0ffbd-cd96-4ba4-bd4f-bd34e8409846"/>
    <ds:schemaRef ds:uri="http://schemas.microsoft.com/office/infopath/2007/PartnerControls"/>
    <ds:schemaRef ds:uri="ef7ae401-bd17-41a5-97cb-ef653218410e"/>
    <ds:schemaRef ds:uri="http://schemas.microsoft.com/office/2006/metadata/properties"/>
    <ds:schemaRef ds:uri="http://purl.org/dc/terms/"/>
  </ds:schemaRefs>
</ds:datastoreItem>
</file>

<file path=customXml/itemProps12.xml><?xml version="1.0" encoding="utf-8"?>
<ds:datastoreItem xmlns:ds="http://schemas.openxmlformats.org/officeDocument/2006/customXml" ds:itemID="{58BA3811-B42F-4CB4-8262-2876EB82431C}">
  <ds:schemaRefs/>
</ds:datastoreItem>
</file>

<file path=customXml/itemProps1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4.xml><?xml version="1.0" encoding="utf-8"?>
<ds:datastoreItem xmlns:ds="http://schemas.openxmlformats.org/officeDocument/2006/customXml" ds:itemID="{C6D2B215-4423-4DEC-9649-8C80176550E3}">
  <ds:schemaRefs>
    <ds:schemaRef ds:uri="http://www.w3.org/2001/XMLSchema"/>
    <ds:schemaRef ds:uri="http://microsoft.data.visualization.engine.tours/1.0"/>
  </ds:schemaRefs>
</ds:datastoreItem>
</file>

<file path=customXml/itemProps15.xml><?xml version="1.0" encoding="utf-8"?>
<ds:datastoreItem xmlns:ds="http://schemas.openxmlformats.org/officeDocument/2006/customXml" ds:itemID="{9751CF05-0155-4238-9FDF-DF96667B02F3}">
  <ds:schemaRefs>
    <ds:schemaRef ds:uri="http://www.w3.org/2001/XMLSchema"/>
    <ds:schemaRef ds:uri="http://microsoft.data.visualization.Client.Excel/1.0"/>
  </ds:schemaRefs>
</ds:datastoreItem>
</file>

<file path=customXml/itemProps16.xml><?xml version="1.0" encoding="utf-8"?>
<ds:datastoreItem xmlns:ds="http://schemas.openxmlformats.org/officeDocument/2006/customXml" ds:itemID="{07224704-78DD-452F-8213-0D78EEB9D036}">
  <ds:schemaRefs>
    <ds:schemaRef ds:uri="http://www.w3.org/2001/XMLSchema"/>
    <ds:schemaRef ds:uri="http://microsoft.data.visualization.Client.Excel.LState/1.0"/>
  </ds:schemaRefs>
</ds:datastoreItem>
</file>

<file path=customXml/itemProps17.xml><?xml version="1.0" encoding="utf-8"?>
<ds:datastoreItem xmlns:ds="http://schemas.openxmlformats.org/officeDocument/2006/customXml" ds:itemID="{9CFAC6F2-4B80-4667-9F11-1DC1BF103C78}">
  <ds:schemaRefs/>
</ds:datastoreItem>
</file>

<file path=customXml/itemProps18.xml><?xml version="1.0" encoding="utf-8"?>
<ds:datastoreItem xmlns:ds="http://schemas.openxmlformats.org/officeDocument/2006/customXml" ds:itemID="{74D0EE26-3ED0-4370-85E6-E3D2A81688BE}">
  <ds:schemaRefs/>
</ds:datastoreItem>
</file>

<file path=customXml/itemProps19.xml><?xml version="1.0" encoding="utf-8"?>
<ds:datastoreItem xmlns:ds="http://schemas.openxmlformats.org/officeDocument/2006/customXml" ds:itemID="{80DB70B8-2AE6-4083-AEB6-A918D6193141}">
  <ds:schemaRefs/>
</ds:datastoreItem>
</file>

<file path=customXml/itemProps20.xml><?xml version="1.0" encoding="utf-8"?>
<ds:datastoreItem xmlns:ds="http://schemas.openxmlformats.org/officeDocument/2006/customXml" ds:itemID="{455735C0-DF0F-4FB7-905A-30AB142C465E}">
  <ds:schemaRefs/>
</ds:datastoreItem>
</file>

<file path=customXml/itemProps21.xml><?xml version="1.0" encoding="utf-8"?>
<ds:datastoreItem xmlns:ds="http://schemas.openxmlformats.org/officeDocument/2006/customXml" ds:itemID="{B1FF4378-62B8-4C3C-A76C-0BECC6FCE5CF}">
  <ds:schemaRefs/>
</ds:datastoreItem>
</file>

<file path=customXml/itemProps22.xml><?xml version="1.0" encoding="utf-8"?>
<ds:datastoreItem xmlns:ds="http://schemas.openxmlformats.org/officeDocument/2006/customXml" ds:itemID="{DD94213C-4DE5-4535-B52E-16F1A90292FA}">
  <ds:schemaRefs/>
</ds:datastoreItem>
</file>

<file path=customXml/itemProps23.xml><?xml version="1.0" encoding="utf-8"?>
<ds:datastoreItem xmlns:ds="http://schemas.openxmlformats.org/officeDocument/2006/customXml" ds:itemID="{B4ACFF73-AF7D-4D79-9D33-B83C5C177324}">
  <ds:schemaRefs/>
</ds:datastoreItem>
</file>

<file path=customXml/itemProps24.xml><?xml version="1.0" encoding="utf-8"?>
<ds:datastoreItem xmlns:ds="http://schemas.openxmlformats.org/officeDocument/2006/customXml" ds:itemID="{429EF3B5-00CC-455B-91AF-49ACE72C5328}">
  <ds:schemaRefs/>
</ds:datastoreItem>
</file>

<file path=customXml/itemProps25.xml><?xml version="1.0" encoding="utf-8"?>
<ds:datastoreItem xmlns:ds="http://schemas.openxmlformats.org/officeDocument/2006/customXml" ds:itemID="{9D08C6E5-6425-4DDD-9350-BD2AEFF1A5BA}">
  <ds:schemaRefs/>
</ds:datastoreItem>
</file>

<file path=customXml/itemProps26.xml><?xml version="1.0" encoding="utf-8"?>
<ds:datastoreItem xmlns:ds="http://schemas.openxmlformats.org/officeDocument/2006/customXml" ds:itemID="{2713A665-30C4-4780-A714-F3ED2484FD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sales_fact</vt:lpstr>
      <vt:lpstr>sales_id</vt:lpstr>
      <vt:lpstr>country_dim</vt:lpstr>
      <vt:lpstr>state_id</vt:lpstr>
      <vt:lpstr>model_dim</vt:lpstr>
      <vt:lpstr>color_dim</vt:lpstr>
      <vt:lpstr>Dirty_dataset</vt:lpstr>
      <vt:lpstr>Clean_data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christian santos</cp:lastModifiedBy>
  <cp:revision/>
  <dcterms:created xsi:type="dcterms:W3CDTF">2022-11-04T20:14:11Z</dcterms:created>
  <dcterms:modified xsi:type="dcterms:W3CDTF">2026-02-20T14:05:13Z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